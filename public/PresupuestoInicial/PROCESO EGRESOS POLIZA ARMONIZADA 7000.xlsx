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cpc\OneDrive\Escritorio\"/>
    </mc:Choice>
  </mc:AlternateContent>
  <xr:revisionPtr revIDLastSave="0" documentId="13_ncr:1_{441C6995-642E-4B7E-BFBA-4B05B712C4EE}" xr6:coauthVersionLast="47" xr6:coauthVersionMax="47" xr10:uidLastSave="{00000000-0000-0000-0000-000000000000}"/>
  <bookViews>
    <workbookView xWindow="648" yWindow="1056" windowWidth="11688" windowHeight="11076" xr2:uid="{D5EA5309-C82F-4CC7-B652-D8F0609F03B5}"/>
  </bookViews>
  <sheets>
    <sheet name="Formato de Carga 7" sheetId="5" r:id="rId1"/>
    <sheet name="Proceso Aut 7" sheetId="4" r:id="rId2"/>
    <sheet name="Tabla de polizas" sheetId="7" r:id="rId3"/>
    <sheet name="Poliza vista apro" sheetId="9" r:id="rId4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9" l="1"/>
  <c r="AM3" i="4" l="1"/>
  <c r="AM2" i="4"/>
  <c r="AK3" i="4"/>
  <c r="AK2" i="4"/>
  <c r="AI3" i="4"/>
  <c r="AI2" i="4"/>
  <c r="AG3" i="4"/>
  <c r="AG2" i="4"/>
  <c r="AE3" i="4"/>
  <c r="AE2" i="4"/>
  <c r="AC3" i="4"/>
  <c r="AC2" i="4"/>
  <c r="AA3" i="4"/>
  <c r="AA2" i="4"/>
  <c r="Y3" i="4"/>
  <c r="Y2" i="4"/>
  <c r="W3" i="4"/>
  <c r="W2" i="4"/>
  <c r="U3" i="4"/>
  <c r="U2" i="4"/>
  <c r="S3" i="4"/>
  <c r="S2" i="4"/>
  <c r="Q3" i="4"/>
  <c r="Q2" i="4"/>
  <c r="K2" i="5"/>
  <c r="O2" i="4" l="1"/>
  <c r="O3" i="4"/>
  <c r="M28" i="9"/>
  <c r="L28" i="9"/>
  <c r="K3" i="5" l="1"/>
</calcChain>
</file>

<file path=xl/sharedStrings.xml><?xml version="1.0" encoding="utf-8"?>
<sst xmlns="http://schemas.openxmlformats.org/spreadsheetml/2006/main" count="224" uniqueCount="83">
  <si>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</si>
  <si>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</si>
  <si>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</si>
  <si>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</si>
  <si>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</si>
  <si>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</si>
  <si>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</si>
  <si>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</si>
  <si>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</si>
  <si>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</si>
  <si>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</si>
  <si>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</si>
  <si>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Area Ejecutora</t>
  </si>
  <si>
    <t>COG</t>
  </si>
  <si>
    <t>Cuenta</t>
  </si>
  <si>
    <t>DESCRIPCIÓN</t>
  </si>
  <si>
    <t>TOTAL</t>
  </si>
  <si>
    <t>CONCEPTO</t>
  </si>
  <si>
    <t>TIPO</t>
  </si>
  <si>
    <t>P</t>
  </si>
  <si>
    <t>CA</t>
  </si>
  <si>
    <t>CFG</t>
  </si>
  <si>
    <t>CP</t>
  </si>
  <si>
    <t>CTG</t>
  </si>
  <si>
    <t>2.6.2</t>
  </si>
  <si>
    <t>J</t>
  </si>
  <si>
    <t>PRESUPUESTO INICIAL 2024</t>
  </si>
  <si>
    <t>Numero poliza</t>
  </si>
  <si>
    <t>01/01/2024</t>
  </si>
  <si>
    <t>TOTAL CARGO</t>
  </si>
  <si>
    <t>TOTAL ABONO</t>
  </si>
  <si>
    <t>ENERO CARGO</t>
  </si>
  <si>
    <t>ENERO ABONO</t>
  </si>
  <si>
    <t>FEBRERO CARGO</t>
  </si>
  <si>
    <t>FEBRERO ABONO</t>
  </si>
  <si>
    <t>MARZO CARGO</t>
  </si>
  <si>
    <t>MARZO ABONO</t>
  </si>
  <si>
    <t>ABRIL CARGO</t>
  </si>
  <si>
    <t>ABRIL ABONO</t>
  </si>
  <si>
    <t>MAYO CARGO</t>
  </si>
  <si>
    <t>MAYO ABONO</t>
  </si>
  <si>
    <t>JUNIO CARGO</t>
  </si>
  <si>
    <t>JUNIO ABONO</t>
  </si>
  <si>
    <t>JULIO CARGO</t>
  </si>
  <si>
    <t>JULIO ABONO</t>
  </si>
  <si>
    <t>AGOSTO CARGO</t>
  </si>
  <si>
    <t>AGOSTO ABONO</t>
  </si>
  <si>
    <t>SEPTIEMBRE CARGO</t>
  </si>
  <si>
    <t>SEPTIEMBRE ABONO</t>
  </si>
  <si>
    <t>OCTUBRE CARGO</t>
  </si>
  <si>
    <t>OCTUBRE ABONO</t>
  </si>
  <si>
    <t>NOVIEMBRE CARGO</t>
  </si>
  <si>
    <t>NOVIEMBRE ABONO</t>
  </si>
  <si>
    <t>DICIEMBRE CARGO</t>
  </si>
  <si>
    <t>DICIEMBRE ABONO</t>
  </si>
  <si>
    <t>INSTITUTO DE PENSIONES DEL ESTADO DE VERACRUZ</t>
  </si>
  <si>
    <t>Tipo</t>
  </si>
  <si>
    <t>No.</t>
  </si>
  <si>
    <t>POLIZA DE PRESUPUESTAL</t>
  </si>
  <si>
    <t>Fecha</t>
  </si>
  <si>
    <t>Hora</t>
  </si>
  <si>
    <t>Descripción</t>
  </si>
  <si>
    <t xml:space="preserve">Cargo </t>
  </si>
  <si>
    <t>Abono</t>
  </si>
  <si>
    <t>TOTALES</t>
  </si>
  <si>
    <t>Concepto</t>
  </si>
  <si>
    <t>REGISTRÓ</t>
  </si>
  <si>
    <t>VALIDÓ REGISTRO</t>
  </si>
  <si>
    <t>AUTORIZÓ REGISTRO</t>
  </si>
  <si>
    <t>L.A. ANAYUTH ORORIO LOPEZ</t>
  </si>
  <si>
    <t>C.P. ANIBAL ANDRADE DIAZ</t>
  </si>
  <si>
    <t>L.C. CLAUDIA IVONNE TEJEDA CHIMALPOPOCA</t>
  </si>
  <si>
    <t>8.2.1.1.2.2.4.02.01</t>
  </si>
  <si>
    <t>Concesión de préstamos al sector privado con fines de gestión de liquidez a Corto Plazo (Aprobado)</t>
  </si>
  <si>
    <t>8.2.1.1.2.2.4.02.02</t>
  </si>
  <si>
    <t>Concesión de préstamos al sector privado con fines de gestión de liquidez a Mediano Plazo (Aprobado)</t>
  </si>
  <si>
    <t>1.5.04</t>
  </si>
  <si>
    <t>6</t>
  </si>
  <si>
    <t>16:00</t>
  </si>
  <si>
    <t>8.2.2.1.2.2.4.02.01</t>
  </si>
  <si>
    <t>Concesión de préstamos al sector privado con fines de gestión de liquidez a Corto Plazo (Por ejercer)</t>
  </si>
  <si>
    <t>8.2.2.1.2.2.4.02.02</t>
  </si>
  <si>
    <t>Concesión de préstamos al sector privado con fines de gestión de liquidez a Mediano Plazo (Por ejercer)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</si>
</sst>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2" fontId="3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49" fontId="4" fillId="4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top" readingOrder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9" xfId="0" applyNumberFormat="1" applyBorder="1"/>
    <xf numFmtId="4" fontId="0" fillId="0" borderId="0" xfId="0" applyNumberFormat="1"/>
    <xf numFmtId="0" fontId="0" fillId="0" borderId="10" xfId="0" applyBorder="1"/>
    <xf numFmtId="0" fontId="0" fillId="0" borderId="11" xfId="0" applyBorder="1"/>
    <xf numFmtId="4" fontId="0" fillId="0" borderId="12" xfId="0" applyNumberFormat="1" applyBorder="1"/>
    <xf numFmtId="0" fontId="5" fillId="0" borderId="0" xfId="0" applyFont="1" applyAlignment="1">
      <alignment horizontal="right"/>
    </xf>
    <xf numFmtId="4" fontId="5" fillId="0" borderId="0" xfId="0" applyNumberFormat="1" applyFont="1"/>
    <xf numFmtId="0" fontId="6" fillId="0" borderId="2" xfId="0" applyFont="1" applyBorder="1" applyAlignment="1">
      <alignment vertical="top" readingOrder="1"/>
    </xf>
    <xf numFmtId="4" fontId="0" fillId="2" borderId="0" xfId="0" applyNumberFormat="1" applyFill="1"/>
    <xf numFmtId="0" fontId="0" fillId="0" borderId="0" xfId="0" applyAlignment="1">
      <alignment horizontal="center"/>
    </xf>
    <xf numFmtId="4" fontId="0" fillId="0" borderId="0" xfId="0" applyNumberFormat="1" applyAlignment="1">
      <alignment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2">
    <cellStyle name="Normal" xfId="0" builtinId="0"/>
    <cellStyle name="Normal 2" xfId="1" xr:uid="{CED65EDC-080B-433C-99B7-A1FFE802B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3</xdr:col>
      <xdr:colOff>409752</xdr:colOff>
      <xdr:row>3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3453A8-6D28-4E5D-B9A8-DBBB200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0"/>
          <a:ext cx="1926132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B356-E8E6-4902-AA25-5288A335BBFE}">
  <dimension ref="A1:AB23"/>
  <sheetViews>
    <sheetView tabSelected="1" zoomScale="80" zoomScaleNormal="80" workbookViewId="0">
      <selection activeCell="I8" sqref="I8"/>
    </sheetView>
  </sheetViews>
  <sheetFormatPr baseColWidth="10" defaultRowHeight="14.4" x14ac:dyDescent="0.3"/>
  <cols>
    <col min="1" max="1" width="10" bestFit="1" customWidth="1"/>
    <col min="2" max="2" width="5.5546875" bestFit="1" customWidth="1"/>
    <col min="3" max="3" width="6.6640625" bestFit="1" customWidth="1"/>
    <col min="4" max="4" width="16.109375" bestFit="1" customWidth="1"/>
    <col min="5" max="5" width="5.44140625" bestFit="1" customWidth="1"/>
    <col min="6" max="6" width="3.5546875" bestFit="1" customWidth="1"/>
    <col min="7" max="7" width="4.77734375" bestFit="1" customWidth="1"/>
    <col min="8" max="8" width="16.5546875" bestFit="1" customWidth="1"/>
    <col min="9" max="9" width="91.33203125" customWidth="1"/>
    <col min="10" max="10" width="27.5546875" customWidth="1"/>
    <col min="11" max="11" width="16.33203125" style="10" bestFit="1" customWidth="1"/>
    <col min="12" max="22" width="14.6640625" style="10" bestFit="1" customWidth="1"/>
    <col min="23" max="23" width="16.44140625" style="10" bestFit="1" customWidth="1"/>
  </cols>
  <sheetData>
    <row r="1" spans="1:28" ht="31.8" thickBot="1" x14ac:dyDescent="0.35">
      <c r="A1" s="5" t="s">
        <v>12</v>
      </c>
      <c r="B1" s="5" t="s">
        <v>18</v>
      </c>
      <c r="C1" s="6" t="s">
        <v>13</v>
      </c>
      <c r="D1" s="6" t="s">
        <v>20</v>
      </c>
      <c r="E1" s="6" t="s">
        <v>21</v>
      </c>
      <c r="F1" s="5" t="s">
        <v>22</v>
      </c>
      <c r="G1" s="6" t="s">
        <v>23</v>
      </c>
      <c r="H1" s="6" t="s">
        <v>14</v>
      </c>
      <c r="I1" s="6" t="s">
        <v>15</v>
      </c>
      <c r="J1" s="6" t="s">
        <v>17</v>
      </c>
      <c r="K1" s="9" t="s">
        <v>16</v>
      </c>
      <c r="L1" s="9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11</v>
      </c>
    </row>
    <row r="2" spans="1:28" s="3" customFormat="1" x14ac:dyDescent="0.3">
      <c r="A2" s="4" t="s">
        <v>76</v>
      </c>
      <c r="B2" s="4" t="s">
        <v>19</v>
      </c>
      <c r="C2" s="1">
        <v>74801</v>
      </c>
      <c r="D2" s="7">
        <v>211210080470100</v>
      </c>
      <c r="E2" t="s">
        <v>24</v>
      </c>
      <c r="F2" s="35" t="s">
        <v>25</v>
      </c>
      <c r="G2" s="35">
        <v>2</v>
      </c>
      <c r="H2" s="1" t="s">
        <v>72</v>
      </c>
      <c r="I2" s="1" t="s">
        <v>73</v>
      </c>
      <c r="J2" s="8" t="s">
        <v>26</v>
      </c>
      <c r="K2" s="34">
        <f>SUM(L2:W2)</f>
        <v>290214727.75</v>
      </c>
      <c r="L2" s="34">
        <v>21433533.989999998</v>
      </c>
      <c r="M2" s="34">
        <v>31460552.420000002</v>
      </c>
      <c r="N2" s="34">
        <v>51800461.359999999</v>
      </c>
      <c r="O2" s="34">
        <v>28833465.129999999</v>
      </c>
      <c r="P2" s="34">
        <v>32393744.84</v>
      </c>
      <c r="Q2" s="34">
        <v>48058034</v>
      </c>
      <c r="R2" s="34">
        <v>2827413.75</v>
      </c>
      <c r="S2" s="34">
        <v>19533338.190000001</v>
      </c>
      <c r="T2" s="34">
        <v>53874184.07</v>
      </c>
      <c r="U2" s="34">
        <v>0</v>
      </c>
      <c r="V2" s="34">
        <v>0</v>
      </c>
      <c r="W2" s="34">
        <v>0</v>
      </c>
      <c r="X2"/>
      <c r="Y2"/>
      <c r="Z2"/>
      <c r="AA2"/>
      <c r="AB2"/>
    </row>
    <row r="3" spans="1:28" s="3" customFormat="1" x14ac:dyDescent="0.3">
      <c r="A3" s="4" t="s">
        <v>76</v>
      </c>
      <c r="B3" s="4" t="s">
        <v>19</v>
      </c>
      <c r="C3" s="1">
        <v>74802</v>
      </c>
      <c r="D3" s="7">
        <v>211210080470100</v>
      </c>
      <c r="E3" t="s">
        <v>24</v>
      </c>
      <c r="F3" s="35" t="s">
        <v>25</v>
      </c>
      <c r="G3" s="35">
        <v>2</v>
      </c>
      <c r="H3" s="1" t="s">
        <v>74</v>
      </c>
      <c r="I3" s="1" t="s">
        <v>75</v>
      </c>
      <c r="J3" s="8" t="s">
        <v>26</v>
      </c>
      <c r="K3" s="34">
        <f>SUM(L3:W3)</f>
        <v>209785272.25</v>
      </c>
      <c r="L3" s="34">
        <v>13566466.01</v>
      </c>
      <c r="M3" s="34">
        <v>25039411.359999999</v>
      </c>
      <c r="N3" s="34">
        <v>35034594.490000002</v>
      </c>
      <c r="O3" s="34">
        <v>18035598.960000001</v>
      </c>
      <c r="P3" s="34">
        <v>28046290.030000001</v>
      </c>
      <c r="Q3" s="34">
        <v>37180170.850000001</v>
      </c>
      <c r="R3" s="34">
        <v>4284630.96</v>
      </c>
      <c r="S3" s="34">
        <v>12472293.66</v>
      </c>
      <c r="T3" s="34">
        <v>36125815.93</v>
      </c>
      <c r="U3" s="34">
        <v>0</v>
      </c>
      <c r="V3" s="34">
        <v>0</v>
      </c>
      <c r="W3" s="34">
        <v>0</v>
      </c>
      <c r="X3"/>
      <c r="Y3"/>
      <c r="Z3"/>
      <c r="AA3"/>
      <c r="AB3"/>
    </row>
    <row r="4" spans="1:28" s="2" customFormat="1" x14ac:dyDescent="0.3">
      <c r="A4"/>
      <c r="B4"/>
      <c r="C4"/>
      <c r="D4"/>
      <c r="E4"/>
      <c r="F4"/>
      <c r="G4"/>
      <c r="H4"/>
      <c r="I4"/>
      <c r="J4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/>
      <c r="Y4"/>
      <c r="Z4"/>
      <c r="AA4"/>
      <c r="AB4"/>
    </row>
    <row r="5" spans="1:28" s="2" customFormat="1" x14ac:dyDescent="0.3">
      <c r="A5"/>
      <c r="B5"/>
      <c r="C5"/>
      <c r="D5"/>
      <c r="E5"/>
      <c r="F5"/>
      <c r="G5"/>
      <c r="H5"/>
      <c r="I5"/>
      <c r="J5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/>
      <c r="Y5"/>
      <c r="Z5"/>
      <c r="AA5"/>
      <c r="AB5"/>
    </row>
    <row r="6" spans="1:28" s="2" customFormat="1" x14ac:dyDescent="0.3">
      <c r="A6"/>
      <c r="B6"/>
      <c r="C6"/>
      <c r="D6"/>
      <c r="E6"/>
      <c r="F6"/>
      <c r="G6"/>
      <c r="H6"/>
      <c r="I6"/>
      <c r="J6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/>
      <c r="Y6"/>
      <c r="Z6"/>
      <c r="AA6"/>
      <c r="AB6"/>
    </row>
    <row r="7" spans="1:28" s="2" customFormat="1" x14ac:dyDescent="0.3">
      <c r="A7"/>
      <c r="B7"/>
      <c r="C7"/>
      <c r="D7"/>
      <c r="E7"/>
      <c r="F7"/>
      <c r="G7"/>
      <c r="H7"/>
      <c r="I7"/>
      <c r="J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/>
      <c r="Y7"/>
      <c r="Z7"/>
      <c r="AA7"/>
      <c r="AB7"/>
    </row>
    <row r="8" spans="1:28" s="2" customFormat="1" x14ac:dyDescent="0.3">
      <c r="A8"/>
      <c r="B8"/>
      <c r="C8"/>
      <c r="D8"/>
      <c r="E8"/>
      <c r="F8"/>
      <c r="G8"/>
      <c r="H8"/>
      <c r="I8"/>
      <c r="J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/>
      <c r="Y8"/>
      <c r="Z8"/>
      <c r="AA8"/>
      <c r="AB8"/>
    </row>
    <row r="9" spans="1:28" s="2" customFormat="1" x14ac:dyDescent="0.3">
      <c r="A9"/>
      <c r="B9"/>
      <c r="C9"/>
      <c r="D9"/>
      <c r="E9"/>
      <c r="F9"/>
      <c r="G9"/>
      <c r="H9"/>
      <c r="I9"/>
      <c r="J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/>
      <c r="Y9"/>
      <c r="Z9"/>
      <c r="AA9"/>
      <c r="AB9"/>
    </row>
    <row r="10" spans="1:28" s="2" customFormat="1" x14ac:dyDescent="0.3">
      <c r="A10"/>
      <c r="B10"/>
      <c r="C10"/>
      <c r="D10"/>
      <c r="E10"/>
      <c r="F10"/>
      <c r="G10"/>
      <c r="H10"/>
      <c r="I10"/>
      <c r="J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/>
      <c r="Y10"/>
      <c r="Z10"/>
      <c r="AA10"/>
      <c r="AB10"/>
    </row>
    <row r="11" spans="1:28" s="2" customFormat="1" x14ac:dyDescent="0.3">
      <c r="A11"/>
      <c r="B11"/>
      <c r="C11"/>
      <c r="D11"/>
      <c r="E11"/>
      <c r="F11"/>
      <c r="G11"/>
      <c r="H11"/>
      <c r="I11"/>
      <c r="J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/>
      <c r="Y11"/>
      <c r="Z11"/>
      <c r="AA11"/>
      <c r="AB11"/>
    </row>
    <row r="12" spans="1:28" s="2" customFormat="1" x14ac:dyDescent="0.3">
      <c r="A12"/>
      <c r="B12"/>
      <c r="C12"/>
      <c r="D12"/>
      <c r="E12"/>
      <c r="F12"/>
      <c r="G12"/>
      <c r="H12"/>
      <c r="I12"/>
      <c r="J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/>
      <c r="Y12"/>
      <c r="Z12"/>
      <c r="AA12"/>
      <c r="AB12"/>
    </row>
    <row r="13" spans="1:28" s="2" customFormat="1" x14ac:dyDescent="0.3">
      <c r="A13"/>
      <c r="B13"/>
      <c r="C13"/>
      <c r="D13"/>
      <c r="E13"/>
      <c r="F13"/>
      <c r="G13"/>
      <c r="H13"/>
      <c r="I13"/>
      <c r="J1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/>
      <c r="Y13"/>
      <c r="Z13"/>
      <c r="AA13"/>
      <c r="AB13"/>
    </row>
    <row r="14" spans="1:28" s="2" customFormat="1" x14ac:dyDescent="0.3">
      <c r="A14"/>
      <c r="B14"/>
      <c r="C14"/>
      <c r="D14"/>
      <c r="E14"/>
      <c r="F14"/>
      <c r="G14"/>
      <c r="H14"/>
      <c r="I14"/>
      <c r="J14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/>
      <c r="Y14"/>
      <c r="Z14"/>
      <c r="AA14"/>
      <c r="AB14"/>
    </row>
    <row r="15" spans="1:28" s="2" customFormat="1" x14ac:dyDescent="0.3">
      <c r="A15"/>
      <c r="B15"/>
      <c r="C15"/>
      <c r="D15"/>
      <c r="E15"/>
      <c r="F15"/>
      <c r="G15"/>
      <c r="H15"/>
      <c r="I15"/>
      <c r="J15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/>
      <c r="Y15"/>
      <c r="Z15"/>
      <c r="AA15"/>
      <c r="AB15"/>
    </row>
    <row r="16" spans="1:28" s="2" customFormat="1" x14ac:dyDescent="0.3">
      <c r="A16"/>
      <c r="B16"/>
      <c r="C16"/>
      <c r="D16"/>
      <c r="E16"/>
      <c r="F16"/>
      <c r="G16"/>
      <c r="H16"/>
      <c r="I16"/>
      <c r="J1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/>
      <c r="Y16"/>
      <c r="Z16"/>
      <c r="AA16"/>
      <c r="AB16"/>
    </row>
    <row r="17" spans="1:28" s="2" customFormat="1" x14ac:dyDescent="0.3">
      <c r="A17"/>
      <c r="B17"/>
      <c r="C17"/>
      <c r="D17"/>
      <c r="E17"/>
      <c r="F17"/>
      <c r="G17"/>
      <c r="H17"/>
      <c r="I17"/>
      <c r="J1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/>
      <c r="Y17"/>
      <c r="Z17"/>
      <c r="AA17"/>
      <c r="AB17"/>
    </row>
    <row r="18" spans="1:28" s="2" customFormat="1" x14ac:dyDescent="0.3">
      <c r="A18"/>
      <c r="B18"/>
      <c r="C18"/>
      <c r="D18"/>
      <c r="E18"/>
      <c r="F18"/>
      <c r="G18"/>
      <c r="H18"/>
      <c r="I18"/>
      <c r="J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/>
      <c r="Y18"/>
      <c r="Z18"/>
      <c r="AA18"/>
      <c r="AB18"/>
    </row>
    <row r="19" spans="1:28" s="2" customFormat="1" x14ac:dyDescent="0.3">
      <c r="A19"/>
      <c r="B19"/>
      <c r="C19"/>
      <c r="D19"/>
      <c r="E19"/>
      <c r="F19"/>
      <c r="G19"/>
      <c r="H19"/>
      <c r="I19"/>
      <c r="J1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/>
      <c r="Y19"/>
      <c r="Z19"/>
      <c r="AA19"/>
      <c r="AB19"/>
    </row>
    <row r="20" spans="1:28" s="2" customFormat="1" x14ac:dyDescent="0.3">
      <c r="A20"/>
      <c r="B20"/>
      <c r="C20"/>
      <c r="D20"/>
      <c r="E20"/>
      <c r="F20"/>
      <c r="G20"/>
      <c r="H20"/>
      <c r="I20"/>
      <c r="J2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/>
      <c r="Y20"/>
      <c r="Z20"/>
      <c r="AA20"/>
      <c r="AB20"/>
    </row>
    <row r="21" spans="1:28" s="2" customFormat="1" x14ac:dyDescent="0.3">
      <c r="A21"/>
      <c r="B21"/>
      <c r="C21"/>
      <c r="D21"/>
      <c r="E21"/>
      <c r="F21"/>
      <c r="G21"/>
      <c r="H21"/>
      <c r="I21"/>
      <c r="J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/>
      <c r="Y21"/>
      <c r="Z21"/>
      <c r="AA21"/>
      <c r="AB21"/>
    </row>
    <row r="22" spans="1:28" s="2" customFormat="1" x14ac:dyDescent="0.3">
      <c r="A22"/>
      <c r="B22"/>
      <c r="C22"/>
      <c r="D22"/>
      <c r="E22"/>
      <c r="F22"/>
      <c r="G22"/>
      <c r="H22"/>
      <c r="I22"/>
      <c r="J22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/>
      <c r="Y22"/>
      <c r="Z22"/>
      <c r="AA22"/>
      <c r="AB22"/>
    </row>
    <row r="23" spans="1:28" s="2" customFormat="1" x14ac:dyDescent="0.3">
      <c r="A23"/>
      <c r="B23"/>
      <c r="C23"/>
      <c r="D23"/>
      <c r="E23"/>
      <c r="F23"/>
      <c r="G23"/>
      <c r="H23"/>
      <c r="I23"/>
      <c r="J2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/>
      <c r="Y23"/>
      <c r="Z23"/>
      <c r="AA23"/>
      <c r="AB23"/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0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1CE2-F410-41BD-9FA8-97C78A7FAE02}">
  <dimension ref="A1:AR5"/>
  <sheetViews>
    <sheetView zoomScale="70" zoomScaleNormal="70" workbookViewId="0">
      <pane ySplit="1" topLeftCell="A2" activePane="bottomLeft" state="frozen"/>
      <selection pane="bottomLeft" activeCell="K4" sqref="K4:L5"/>
    </sheetView>
  </sheetViews>
  <sheetFormatPr baseColWidth="10" defaultRowHeight="14.4" x14ac:dyDescent="0.3"/>
  <cols>
    <col min="1" max="1" width="9.109375" bestFit="1" customWidth="1"/>
    <col min="2" max="2" width="5" bestFit="1" customWidth="1"/>
    <col min="3" max="3" width="8.33203125" bestFit="1" customWidth="1"/>
    <col min="4" max="4" width="11.44140625" customWidth="1"/>
    <col min="5" max="5" width="6" bestFit="1" customWidth="1"/>
    <col min="6" max="6" width="6.6640625" bestFit="1" customWidth="1"/>
    <col min="7" max="7" width="17.88671875" bestFit="1" customWidth="1"/>
    <col min="8" max="8" width="5.33203125" bestFit="1" customWidth="1"/>
    <col min="9" max="9" width="3.33203125" bestFit="1" customWidth="1"/>
    <col min="10" max="10" width="4.44140625" bestFit="1" customWidth="1"/>
    <col min="11" max="11" width="16.5546875" bestFit="1" customWidth="1"/>
    <col min="12" max="12" width="83.77734375" customWidth="1"/>
    <col min="13" max="13" width="25" bestFit="1" customWidth="1"/>
    <col min="14" max="14" width="18.6640625" bestFit="1" customWidth="1"/>
    <col min="15" max="15" width="16.44140625" style="10" bestFit="1" customWidth="1"/>
    <col min="16" max="16" width="13.77734375" style="10" customWidth="1"/>
    <col min="17" max="17" width="14.77734375" style="10" bestFit="1" customWidth="1"/>
    <col min="18" max="18" width="13.77734375" style="10" bestFit="1" customWidth="1"/>
    <col min="19" max="19" width="14.6640625" style="10" bestFit="1" customWidth="1"/>
    <col min="20" max="20" width="14.44140625" style="10" customWidth="1"/>
    <col min="21" max="21" width="14.77734375" style="10" bestFit="1" customWidth="1"/>
    <col min="22" max="22" width="13.77734375" style="10" bestFit="1" customWidth="1"/>
    <col min="23" max="23" width="14.77734375" style="10" bestFit="1" customWidth="1"/>
    <col min="24" max="24" width="13.77734375" style="10" bestFit="1" customWidth="1"/>
    <col min="25" max="25" width="14.77734375" style="10" bestFit="1" customWidth="1"/>
    <col min="26" max="26" width="13.77734375" style="10" bestFit="1" customWidth="1"/>
    <col min="27" max="27" width="14.77734375" style="10" bestFit="1" customWidth="1"/>
    <col min="28" max="28" width="12.6640625" style="10" bestFit="1" customWidth="1"/>
    <col min="29" max="29" width="14.77734375" style="10" bestFit="1" customWidth="1"/>
    <col min="30" max="30" width="13.77734375" style="10" bestFit="1" customWidth="1"/>
    <col min="31" max="31" width="14.77734375" style="10" bestFit="1" customWidth="1"/>
    <col min="32" max="32" width="13.77734375" style="10" bestFit="1" customWidth="1"/>
    <col min="33" max="33" width="14.77734375" style="10" bestFit="1" customWidth="1"/>
    <col min="34" max="34" width="12.109375" style="10" bestFit="1" customWidth="1"/>
    <col min="35" max="35" width="14.77734375" style="10" bestFit="1" customWidth="1"/>
    <col min="36" max="36" width="12.109375" style="10" bestFit="1" customWidth="1"/>
    <col min="37" max="37" width="14.77734375" style="10" bestFit="1" customWidth="1"/>
    <col min="38" max="38" width="12.109375" style="10" bestFit="1" customWidth="1"/>
    <col min="39" max="39" width="16.44140625" style="10" bestFit="1" customWidth="1"/>
  </cols>
  <sheetData>
    <row r="1" spans="1:44" ht="29.4" thickBot="1" x14ac:dyDescent="0.35">
      <c r="A1" s="13" t="s">
        <v>12</v>
      </c>
      <c r="B1" s="13" t="s">
        <v>18</v>
      </c>
      <c r="C1" s="13" t="s">
        <v>27</v>
      </c>
      <c r="D1" s="13" t="s">
        <v>59</v>
      </c>
      <c r="E1" s="13" t="s">
        <v>60</v>
      </c>
      <c r="F1" s="14" t="s">
        <v>13</v>
      </c>
      <c r="G1" s="14" t="s">
        <v>20</v>
      </c>
      <c r="H1" s="14" t="s">
        <v>21</v>
      </c>
      <c r="I1" s="13" t="s">
        <v>22</v>
      </c>
      <c r="J1" s="14" t="s">
        <v>23</v>
      </c>
      <c r="K1" s="14" t="s">
        <v>14</v>
      </c>
      <c r="L1" s="14" t="s">
        <v>15</v>
      </c>
      <c r="M1" s="14" t="s">
        <v>17</v>
      </c>
      <c r="N1" s="11" t="s">
        <v>29</v>
      </c>
      <c r="O1" s="12" t="s">
        <v>30</v>
      </c>
      <c r="P1" s="11" t="s">
        <v>31</v>
      </c>
      <c r="Q1" s="12" t="s">
        <v>32</v>
      </c>
      <c r="R1" s="11" t="s">
        <v>33</v>
      </c>
      <c r="S1" s="12" t="s">
        <v>34</v>
      </c>
      <c r="T1" s="11" t="s">
        <v>35</v>
      </c>
      <c r="U1" s="12" t="s">
        <v>36</v>
      </c>
      <c r="V1" s="11" t="s">
        <v>37</v>
      </c>
      <c r="W1" s="12" t="s">
        <v>38</v>
      </c>
      <c r="X1" s="11" t="s">
        <v>39</v>
      </c>
      <c r="Y1" s="12" t="s">
        <v>40</v>
      </c>
      <c r="Z1" s="11" t="s">
        <v>41</v>
      </c>
      <c r="AA1" s="12" t="s">
        <v>42</v>
      </c>
      <c r="AB1" s="11" t="s">
        <v>43</v>
      </c>
      <c r="AC1" s="12" t="s">
        <v>44</v>
      </c>
      <c r="AD1" s="11" t="s">
        <v>45</v>
      </c>
      <c r="AE1" s="12" t="s">
        <v>46</v>
      </c>
      <c r="AF1" s="11" t="s">
        <v>47</v>
      </c>
      <c r="AG1" s="12" t="s">
        <v>48</v>
      </c>
      <c r="AH1" s="11" t="s">
        <v>49</v>
      </c>
      <c r="AI1" s="12" t="s">
        <v>50</v>
      </c>
      <c r="AJ1" s="11" t="s">
        <v>51</v>
      </c>
      <c r="AK1" s="12" t="s">
        <v>52</v>
      </c>
      <c r="AL1" s="11" t="s">
        <v>53</v>
      </c>
      <c r="AM1" s="12" t="s">
        <v>54</v>
      </c>
    </row>
    <row r="2" spans="1:44" s="3" customFormat="1" x14ac:dyDescent="0.3">
      <c r="A2" s="4" t="s">
        <v>76</v>
      </c>
      <c r="B2" s="4" t="s">
        <v>19</v>
      </c>
      <c r="C2" s="4" t="s">
        <v>77</v>
      </c>
      <c r="D2" s="4" t="s">
        <v>28</v>
      </c>
      <c r="E2" s="4" t="s">
        <v>78</v>
      </c>
      <c r="F2" s="1">
        <v>74801</v>
      </c>
      <c r="G2" s="7">
        <v>211210080470100</v>
      </c>
      <c r="H2" t="s">
        <v>24</v>
      </c>
      <c r="I2" t="s">
        <v>25</v>
      </c>
      <c r="J2">
        <v>2</v>
      </c>
      <c r="K2" s="1" t="s">
        <v>72</v>
      </c>
      <c r="L2" s="1" t="s">
        <v>73</v>
      </c>
      <c r="M2" s="8" t="s">
        <v>26</v>
      </c>
      <c r="N2" s="36">
        <v>0</v>
      </c>
      <c r="O2" s="36">
        <f>Q2+S2+U2+W2+Y2+AA2+AC2+AE2+AG2+AI2+AK2+AM2</f>
        <v>290214727.75</v>
      </c>
      <c r="P2" s="36">
        <v>0</v>
      </c>
      <c r="Q2" s="36">
        <f>'Formato de Carga 7'!L2</f>
        <v>21433533.989999998</v>
      </c>
      <c r="R2" s="36">
        <v>0</v>
      </c>
      <c r="S2" s="36">
        <f>'Formato de Carga 7'!M2</f>
        <v>31460552.420000002</v>
      </c>
      <c r="T2" s="36">
        <v>0</v>
      </c>
      <c r="U2" s="36">
        <f>'Formato de Carga 7'!N2</f>
        <v>51800461.359999999</v>
      </c>
      <c r="V2" s="36">
        <v>0</v>
      </c>
      <c r="W2" s="36">
        <f>'Formato de Carga 7'!O2</f>
        <v>28833465.129999999</v>
      </c>
      <c r="X2" s="36">
        <v>0</v>
      </c>
      <c r="Y2" s="36">
        <f>'Formato de Carga 7'!P2</f>
        <v>32393744.84</v>
      </c>
      <c r="Z2" s="36">
        <v>0</v>
      </c>
      <c r="AA2" s="36">
        <f>'Formato de Carga 7'!Q2</f>
        <v>48058034</v>
      </c>
      <c r="AB2" s="36">
        <v>0</v>
      </c>
      <c r="AC2" s="36">
        <f>'Formato de Carga 7'!R2</f>
        <v>2827413.75</v>
      </c>
      <c r="AD2" s="36">
        <v>0</v>
      </c>
      <c r="AE2" s="36">
        <f>'Formato de Carga 7'!S2</f>
        <v>19533338.190000001</v>
      </c>
      <c r="AF2" s="36">
        <v>0</v>
      </c>
      <c r="AG2" s="36">
        <f>'Formato de Carga 7'!T2</f>
        <v>53874184.07</v>
      </c>
      <c r="AH2" s="36">
        <v>0</v>
      </c>
      <c r="AI2" s="36">
        <f>'Formato de Carga 7'!U2</f>
        <v>0</v>
      </c>
      <c r="AJ2" s="36">
        <v>0</v>
      </c>
      <c r="AK2" s="36">
        <f>'Formato de Carga 7'!V2</f>
        <v>0</v>
      </c>
      <c r="AL2" s="36">
        <v>0</v>
      </c>
      <c r="AM2" s="36">
        <f>'Formato de Carga 7'!W2</f>
        <v>0</v>
      </c>
      <c r="AN2"/>
      <c r="AO2"/>
      <c r="AP2"/>
      <c r="AQ2"/>
      <c r="AR2"/>
    </row>
    <row r="3" spans="1:44" s="3" customFormat="1" x14ac:dyDescent="0.3">
      <c r="A3" s="4" t="s">
        <v>76</v>
      </c>
      <c r="B3" s="4" t="s">
        <v>19</v>
      </c>
      <c r="C3" s="4" t="s">
        <v>77</v>
      </c>
      <c r="D3" s="4" t="s">
        <v>28</v>
      </c>
      <c r="E3" s="4" t="s">
        <v>78</v>
      </c>
      <c r="F3" s="1">
        <v>74802</v>
      </c>
      <c r="G3" s="7">
        <v>211210080470100</v>
      </c>
      <c r="H3" t="s">
        <v>24</v>
      </c>
      <c r="I3" t="s">
        <v>25</v>
      </c>
      <c r="J3">
        <v>2</v>
      </c>
      <c r="K3" s="1" t="s">
        <v>74</v>
      </c>
      <c r="L3" s="1" t="s">
        <v>75</v>
      </c>
      <c r="M3" s="8" t="s">
        <v>26</v>
      </c>
      <c r="N3" s="36">
        <v>0</v>
      </c>
      <c r="O3" s="36">
        <f t="shared" ref="O3" si="0">Q3+S3+U3+W3+Y3+AA3+AC3+AE3+AG3+AI3+AK3+AM3</f>
        <v>209785272.25</v>
      </c>
      <c r="P3" s="36">
        <v>0</v>
      </c>
      <c r="Q3" s="36">
        <f>'Formato de Carga 7'!L3</f>
        <v>13566466.01</v>
      </c>
      <c r="R3" s="36">
        <v>0</v>
      </c>
      <c r="S3" s="36">
        <f>'Formato de Carga 7'!M3</f>
        <v>25039411.359999999</v>
      </c>
      <c r="T3" s="36">
        <v>0</v>
      </c>
      <c r="U3" s="36">
        <f>'Formato de Carga 7'!N3</f>
        <v>35034594.490000002</v>
      </c>
      <c r="V3" s="36">
        <v>0</v>
      </c>
      <c r="W3" s="36">
        <f>'Formato de Carga 7'!O3</f>
        <v>18035598.960000001</v>
      </c>
      <c r="X3" s="36">
        <v>0</v>
      </c>
      <c r="Y3" s="36">
        <f>'Formato de Carga 7'!P3</f>
        <v>28046290.030000001</v>
      </c>
      <c r="Z3" s="36">
        <v>0</v>
      </c>
      <c r="AA3" s="36">
        <f>'Formato de Carga 7'!Q3</f>
        <v>37180170.850000001</v>
      </c>
      <c r="AB3" s="36">
        <v>0</v>
      </c>
      <c r="AC3" s="36">
        <f>'Formato de Carga 7'!R3</f>
        <v>4284630.96</v>
      </c>
      <c r="AD3" s="36">
        <v>0</v>
      </c>
      <c r="AE3" s="36">
        <f>'Formato de Carga 7'!S3</f>
        <v>12472293.66</v>
      </c>
      <c r="AF3" s="36">
        <v>0</v>
      </c>
      <c r="AG3" s="36">
        <f>'Formato de Carga 7'!T3</f>
        <v>36125815.93</v>
      </c>
      <c r="AH3" s="36">
        <v>0</v>
      </c>
      <c r="AI3" s="36">
        <f>'Formato de Carga 7'!U3</f>
        <v>0</v>
      </c>
      <c r="AJ3" s="36">
        <v>0</v>
      </c>
      <c r="AK3" s="36">
        <f>'Formato de Carga 7'!V3</f>
        <v>0</v>
      </c>
      <c r="AL3" s="36">
        <v>0</v>
      </c>
      <c r="AM3" s="36">
        <f>'Formato de Carga 7'!W3</f>
        <v>0</v>
      </c>
      <c r="AN3"/>
      <c r="AO3"/>
      <c r="AP3"/>
      <c r="AQ3"/>
      <c r="AR3"/>
    </row>
    <row r="4" spans="1:44" x14ac:dyDescent="0.3">
      <c r="A4" s="4" t="s">
        <v>76</v>
      </c>
      <c r="B4" s="4" t="s">
        <v>19</v>
      </c>
      <c r="C4" s="4" t="s">
        <v>77</v>
      </c>
      <c r="D4" s="4" t="s">
        <v>28</v>
      </c>
      <c r="E4" s="4" t="s">
        <v>78</v>
      </c>
      <c r="F4" s="1">
        <v>74801</v>
      </c>
      <c r="G4" s="7">
        <v>211210080470100</v>
      </c>
      <c r="H4" t="s">
        <v>24</v>
      </c>
      <c r="I4" t="s">
        <v>25</v>
      </c>
      <c r="J4">
        <v>2</v>
      </c>
      <c r="K4" t="s">
        <v>79</v>
      </c>
      <c r="L4" t="s">
        <v>80</v>
      </c>
      <c r="M4" s="8" t="s">
        <v>26</v>
      </c>
      <c r="N4" s="27">
        <v>290214727.75</v>
      </c>
      <c r="O4" s="27">
        <v>0</v>
      </c>
      <c r="P4" s="27">
        <v>21433533.989999998</v>
      </c>
      <c r="Q4" s="27">
        <v>0</v>
      </c>
      <c r="R4" s="27">
        <v>31460552.420000002</v>
      </c>
      <c r="S4" s="27">
        <v>0</v>
      </c>
      <c r="T4" s="27">
        <v>51800461.359999999</v>
      </c>
      <c r="U4" s="27">
        <v>0</v>
      </c>
      <c r="V4" s="27">
        <v>28833465.129999999</v>
      </c>
      <c r="W4" s="27">
        <v>0</v>
      </c>
      <c r="X4" s="27">
        <v>32393744.84</v>
      </c>
      <c r="Y4" s="27">
        <v>0</v>
      </c>
      <c r="Z4" s="27">
        <v>48058034</v>
      </c>
      <c r="AA4" s="27">
        <v>0</v>
      </c>
      <c r="AB4" s="27">
        <v>2827413.75</v>
      </c>
      <c r="AC4" s="27">
        <v>0</v>
      </c>
      <c r="AD4" s="27">
        <v>19533338.190000001</v>
      </c>
      <c r="AE4" s="27">
        <v>0</v>
      </c>
      <c r="AF4" s="27">
        <v>53874184.07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</row>
    <row r="5" spans="1:44" x14ac:dyDescent="0.3">
      <c r="A5" s="4" t="s">
        <v>76</v>
      </c>
      <c r="B5" s="4" t="s">
        <v>19</v>
      </c>
      <c r="C5" s="4" t="s">
        <v>77</v>
      </c>
      <c r="D5" s="4" t="s">
        <v>28</v>
      </c>
      <c r="E5" s="4" t="s">
        <v>78</v>
      </c>
      <c r="F5" s="1">
        <v>74802</v>
      </c>
      <c r="G5" s="7">
        <v>211210080470100</v>
      </c>
      <c r="H5" t="s">
        <v>24</v>
      </c>
      <c r="I5" t="s">
        <v>25</v>
      </c>
      <c r="J5">
        <v>2</v>
      </c>
      <c r="K5" t="s">
        <v>81</v>
      </c>
      <c r="L5" t="s">
        <v>82</v>
      </c>
      <c r="M5" s="8" t="s">
        <v>26</v>
      </c>
      <c r="N5" s="27">
        <v>209785272.25</v>
      </c>
      <c r="O5" s="27">
        <v>0</v>
      </c>
      <c r="P5" s="27">
        <v>13566466.01</v>
      </c>
      <c r="Q5" s="27">
        <v>0</v>
      </c>
      <c r="R5" s="27">
        <v>25039411.359999999</v>
      </c>
      <c r="S5" s="27">
        <v>0</v>
      </c>
      <c r="T5" s="27">
        <v>35034594.490000002</v>
      </c>
      <c r="U5" s="27">
        <v>0</v>
      </c>
      <c r="V5" s="27">
        <v>18035598.960000001</v>
      </c>
      <c r="W5" s="27">
        <v>0</v>
      </c>
      <c r="X5" s="27">
        <v>28046290.030000001</v>
      </c>
      <c r="Y5" s="27">
        <v>0</v>
      </c>
      <c r="Z5" s="27">
        <v>37180170.850000001</v>
      </c>
      <c r="AA5" s="27">
        <v>0</v>
      </c>
      <c r="AB5" s="27">
        <v>4284630.96</v>
      </c>
      <c r="AC5" s="27">
        <v>0</v>
      </c>
      <c r="AD5" s="27">
        <v>12472293.66</v>
      </c>
      <c r="AE5" s="27">
        <v>0</v>
      </c>
      <c r="AF5" s="27">
        <v>36125815.93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4" max="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FBB9-E46D-481D-BDA5-ADEF97E12F86}">
  <dimension ref="A1:AM5"/>
  <sheetViews>
    <sheetView zoomScale="70" zoomScaleNormal="70" workbookViewId="0">
      <selection activeCell="O2" sqref="O2:O3"/>
    </sheetView>
  </sheetViews>
  <sheetFormatPr baseColWidth="10" defaultRowHeight="14.4" x14ac:dyDescent="0.3"/>
  <cols>
    <col min="1" max="1" width="9.109375" bestFit="1" customWidth="1"/>
    <col min="2" max="2" width="5" bestFit="1" customWidth="1"/>
    <col min="3" max="3" width="8.33203125" bestFit="1" customWidth="1"/>
    <col min="4" max="4" width="11.44140625" customWidth="1"/>
    <col min="5" max="5" width="6" bestFit="1" customWidth="1"/>
    <col min="6" max="6" width="6.6640625" bestFit="1" customWidth="1"/>
    <col min="7" max="7" width="17.88671875" bestFit="1" customWidth="1"/>
    <col min="8" max="8" width="5.33203125" bestFit="1" customWidth="1"/>
    <col min="9" max="9" width="3.33203125" bestFit="1" customWidth="1"/>
    <col min="10" max="10" width="4.44140625" bestFit="1" customWidth="1"/>
    <col min="11" max="11" width="16.5546875" bestFit="1" customWidth="1"/>
    <col min="12" max="12" width="107.77734375" customWidth="1"/>
    <col min="13" max="13" width="25" bestFit="1" customWidth="1"/>
    <col min="14" max="14" width="18.5546875" bestFit="1" customWidth="1"/>
    <col min="15" max="15" width="13.77734375" style="10" bestFit="1" customWidth="1"/>
    <col min="16" max="16" width="13.5546875" style="10" bestFit="1" customWidth="1"/>
    <col min="17" max="19" width="12.6640625" style="10" bestFit="1" customWidth="1"/>
    <col min="20" max="20" width="14.21875" style="10" bestFit="1" customWidth="1"/>
    <col min="21" max="27" width="12.6640625" style="10" bestFit="1" customWidth="1"/>
    <col min="28" max="29" width="11.5546875" style="10" bestFit="1" customWidth="1"/>
    <col min="30" max="33" width="12.6640625" style="10" bestFit="1" customWidth="1"/>
    <col min="34" max="35" width="9" style="10" bestFit="1" customWidth="1"/>
    <col min="36" max="37" width="11.5546875" style="10" bestFit="1" customWidth="1"/>
    <col min="38" max="39" width="10.44140625" style="10" bestFit="1" customWidth="1"/>
  </cols>
  <sheetData>
    <row r="1" spans="1:39" ht="29.4" thickBot="1" x14ac:dyDescent="0.35">
      <c r="A1" s="13" t="s">
        <v>12</v>
      </c>
      <c r="B1" s="13" t="s">
        <v>18</v>
      </c>
      <c r="C1" s="13" t="s">
        <v>27</v>
      </c>
      <c r="D1" s="13" t="s">
        <v>59</v>
      </c>
      <c r="E1" s="13" t="s">
        <v>60</v>
      </c>
      <c r="F1" s="14" t="s">
        <v>13</v>
      </c>
      <c r="G1" s="14" t="s">
        <v>20</v>
      </c>
      <c r="H1" s="14" t="s">
        <v>21</v>
      </c>
      <c r="I1" s="13" t="s">
        <v>22</v>
      </c>
      <c r="J1" s="14" t="s">
        <v>23</v>
      </c>
      <c r="K1" s="14" t="s">
        <v>14</v>
      </c>
      <c r="L1" s="14" t="s">
        <v>15</v>
      </c>
      <c r="M1" s="14" t="s">
        <v>17</v>
      </c>
      <c r="N1" s="11" t="s">
        <v>29</v>
      </c>
      <c r="O1" s="12" t="s">
        <v>30</v>
      </c>
      <c r="P1" s="11" t="s">
        <v>31</v>
      </c>
      <c r="Q1" s="12" t="s">
        <v>32</v>
      </c>
      <c r="R1" s="11" t="s">
        <v>33</v>
      </c>
      <c r="S1" s="12" t="s">
        <v>34</v>
      </c>
      <c r="T1" s="11" t="s">
        <v>35</v>
      </c>
      <c r="U1" s="12" t="s">
        <v>36</v>
      </c>
      <c r="V1" s="11" t="s">
        <v>37</v>
      </c>
      <c r="W1" s="12" t="s">
        <v>38</v>
      </c>
      <c r="X1" s="11" t="s">
        <v>39</v>
      </c>
      <c r="Y1" s="12" t="s">
        <v>40</v>
      </c>
      <c r="Z1" s="11" t="s">
        <v>41</v>
      </c>
      <c r="AA1" s="12" t="s">
        <v>42</v>
      </c>
      <c r="AB1" s="11" t="s">
        <v>43</v>
      </c>
      <c r="AC1" s="12" t="s">
        <v>44</v>
      </c>
      <c r="AD1" s="11" t="s">
        <v>45</v>
      </c>
      <c r="AE1" s="12" t="s">
        <v>46</v>
      </c>
      <c r="AF1" s="11" t="s">
        <v>47</v>
      </c>
      <c r="AG1" s="12" t="s">
        <v>48</v>
      </c>
      <c r="AH1" s="11" t="s">
        <v>49</v>
      </c>
      <c r="AI1" s="12" t="s">
        <v>50</v>
      </c>
      <c r="AJ1" s="11" t="s">
        <v>51</v>
      </c>
      <c r="AK1" s="12" t="s">
        <v>52</v>
      </c>
      <c r="AL1" s="11" t="s">
        <v>53</v>
      </c>
      <c r="AM1" s="12" t="s">
        <v>54</v>
      </c>
    </row>
    <row r="2" spans="1:39" x14ac:dyDescent="0.3">
      <c r="A2" t="s">
        <v>76</v>
      </c>
      <c r="B2" t="s">
        <v>19</v>
      </c>
      <c r="C2" t="s">
        <v>77</v>
      </c>
      <c r="D2" t="s">
        <v>28</v>
      </c>
      <c r="E2" t="s">
        <v>78</v>
      </c>
      <c r="F2">
        <v>74801</v>
      </c>
      <c r="G2" s="7">
        <v>211210080470100</v>
      </c>
      <c r="H2" t="s">
        <v>24</v>
      </c>
      <c r="I2" t="s">
        <v>25</v>
      </c>
      <c r="J2">
        <v>2</v>
      </c>
      <c r="K2" t="s">
        <v>72</v>
      </c>
      <c r="L2" t="s">
        <v>73</v>
      </c>
      <c r="M2" t="s">
        <v>26</v>
      </c>
      <c r="N2">
        <v>0</v>
      </c>
      <c r="O2" s="10">
        <v>290214727.75</v>
      </c>
      <c r="P2" s="10">
        <v>0</v>
      </c>
      <c r="Q2" s="10">
        <v>21433533.989999998</v>
      </c>
      <c r="R2" s="10">
        <v>0</v>
      </c>
      <c r="S2" s="10">
        <v>31460552.420000002</v>
      </c>
      <c r="T2" s="10">
        <v>0</v>
      </c>
      <c r="U2" s="10">
        <v>51800461.359999999</v>
      </c>
      <c r="V2" s="10">
        <v>0</v>
      </c>
      <c r="W2" s="10">
        <v>28833465.129999999</v>
      </c>
      <c r="X2" s="10">
        <v>0</v>
      </c>
      <c r="Y2" s="10">
        <v>32393744.84</v>
      </c>
      <c r="Z2" s="10">
        <v>0</v>
      </c>
      <c r="AA2" s="10">
        <v>48058034</v>
      </c>
      <c r="AB2" s="10">
        <v>0</v>
      </c>
      <c r="AC2" s="10">
        <v>2827413.75</v>
      </c>
      <c r="AD2" s="10">
        <v>0</v>
      </c>
      <c r="AE2" s="10">
        <v>19533338.190000001</v>
      </c>
      <c r="AF2" s="10">
        <v>0</v>
      </c>
      <c r="AG2" s="10">
        <v>53874184.07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</row>
    <row r="3" spans="1:39" x14ac:dyDescent="0.3">
      <c r="A3" t="s">
        <v>76</v>
      </c>
      <c r="B3" t="s">
        <v>19</v>
      </c>
      <c r="C3" t="s">
        <v>77</v>
      </c>
      <c r="D3" t="s">
        <v>28</v>
      </c>
      <c r="E3" t="s">
        <v>78</v>
      </c>
      <c r="F3">
        <v>74802</v>
      </c>
      <c r="G3" s="7">
        <v>211210080470100</v>
      </c>
      <c r="H3" t="s">
        <v>24</v>
      </c>
      <c r="I3" t="s">
        <v>25</v>
      </c>
      <c r="J3">
        <v>2</v>
      </c>
      <c r="K3" t="s">
        <v>74</v>
      </c>
      <c r="L3" t="s">
        <v>75</v>
      </c>
      <c r="M3" t="s">
        <v>26</v>
      </c>
      <c r="N3">
        <v>0</v>
      </c>
      <c r="O3" s="10">
        <v>209785272.25</v>
      </c>
      <c r="P3" s="10">
        <v>0</v>
      </c>
      <c r="Q3" s="10">
        <v>13566466.01</v>
      </c>
      <c r="R3" s="10">
        <v>0</v>
      </c>
      <c r="S3" s="10">
        <v>25039411.359999999</v>
      </c>
      <c r="T3" s="10">
        <v>0</v>
      </c>
      <c r="U3" s="10">
        <v>35034594.490000002</v>
      </c>
      <c r="V3" s="10">
        <v>0</v>
      </c>
      <c r="W3" s="10">
        <v>18035598.960000001</v>
      </c>
      <c r="X3" s="10">
        <v>0</v>
      </c>
      <c r="Y3" s="10">
        <v>28046290.030000001</v>
      </c>
      <c r="Z3" s="10">
        <v>0</v>
      </c>
      <c r="AA3" s="10">
        <v>37180170.850000001</v>
      </c>
      <c r="AB3" s="10">
        <v>0</v>
      </c>
      <c r="AC3" s="10">
        <v>4284630.96</v>
      </c>
      <c r="AD3" s="10">
        <v>0</v>
      </c>
      <c r="AE3" s="10">
        <v>12472293.66</v>
      </c>
      <c r="AF3" s="10">
        <v>0</v>
      </c>
      <c r="AG3" s="10">
        <v>36125815.93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</row>
    <row r="4" spans="1:39" x14ac:dyDescent="0.3">
      <c r="A4" t="s">
        <v>76</v>
      </c>
      <c r="B4" t="s">
        <v>19</v>
      </c>
      <c r="C4" t="s">
        <v>77</v>
      </c>
      <c r="D4" t="s">
        <v>28</v>
      </c>
      <c r="E4" t="s">
        <v>78</v>
      </c>
      <c r="F4">
        <v>74801</v>
      </c>
      <c r="G4" s="7">
        <v>211210080470100</v>
      </c>
      <c r="H4" t="s">
        <v>24</v>
      </c>
      <c r="I4" t="s">
        <v>25</v>
      </c>
      <c r="J4">
        <v>2</v>
      </c>
      <c r="K4" t="s">
        <v>79</v>
      </c>
      <c r="L4" t="s">
        <v>80</v>
      </c>
      <c r="M4" t="s">
        <v>26</v>
      </c>
      <c r="N4">
        <v>290214727.75</v>
      </c>
      <c r="O4" s="10">
        <v>0</v>
      </c>
      <c r="P4" s="10">
        <v>21433533.989999998</v>
      </c>
      <c r="Q4" s="10">
        <v>0</v>
      </c>
      <c r="R4" s="10">
        <v>31460552.420000002</v>
      </c>
      <c r="S4" s="10">
        <v>0</v>
      </c>
      <c r="T4" s="10">
        <v>51800461.359999999</v>
      </c>
      <c r="U4" s="10">
        <v>0</v>
      </c>
      <c r="V4" s="10">
        <v>28833465.129999999</v>
      </c>
      <c r="W4" s="10">
        <v>0</v>
      </c>
      <c r="X4" s="10">
        <v>32393744.84</v>
      </c>
      <c r="Y4" s="10">
        <v>0</v>
      </c>
      <c r="Z4" s="10">
        <v>48058034</v>
      </c>
      <c r="AA4" s="10">
        <v>0</v>
      </c>
      <c r="AB4" s="10">
        <v>2827413.75</v>
      </c>
      <c r="AC4" s="10">
        <v>0</v>
      </c>
      <c r="AD4" s="10">
        <v>19533338.190000001</v>
      </c>
      <c r="AE4" s="10">
        <v>0</v>
      </c>
      <c r="AF4" s="10">
        <v>53874184.07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</row>
    <row r="5" spans="1:39" x14ac:dyDescent="0.3">
      <c r="A5" t="s">
        <v>76</v>
      </c>
      <c r="B5" t="s">
        <v>19</v>
      </c>
      <c r="C5" t="s">
        <v>77</v>
      </c>
      <c r="D5" t="s">
        <v>28</v>
      </c>
      <c r="E5" t="s">
        <v>78</v>
      </c>
      <c r="F5">
        <v>74802</v>
      </c>
      <c r="G5" s="7">
        <v>211210080470100</v>
      </c>
      <c r="H5" t="s">
        <v>24</v>
      </c>
      <c r="I5" t="s">
        <v>25</v>
      </c>
      <c r="J5">
        <v>2</v>
      </c>
      <c r="K5" t="s">
        <v>81</v>
      </c>
      <c r="L5" t="s">
        <v>82</v>
      </c>
      <c r="M5" t="s">
        <v>26</v>
      </c>
      <c r="N5">
        <v>209785272.25</v>
      </c>
      <c r="O5" s="10">
        <v>0</v>
      </c>
      <c r="P5" s="10">
        <v>13566466.01</v>
      </c>
      <c r="Q5" s="10">
        <v>0</v>
      </c>
      <c r="R5" s="10">
        <v>25039411.359999999</v>
      </c>
      <c r="S5" s="10">
        <v>0</v>
      </c>
      <c r="T5" s="10">
        <v>35034594.490000002</v>
      </c>
      <c r="U5" s="10">
        <v>0</v>
      </c>
      <c r="V5" s="10">
        <v>18035598.960000001</v>
      </c>
      <c r="W5" s="10">
        <v>0</v>
      </c>
      <c r="X5" s="10">
        <v>28046290.030000001</v>
      </c>
      <c r="Y5" s="10">
        <v>0</v>
      </c>
      <c r="Z5" s="10">
        <v>37180170.850000001</v>
      </c>
      <c r="AA5" s="10">
        <v>0</v>
      </c>
      <c r="AB5" s="10">
        <v>4284630.96</v>
      </c>
      <c r="AC5" s="10">
        <v>0</v>
      </c>
      <c r="AD5" s="10">
        <v>12472293.66</v>
      </c>
      <c r="AE5" s="10">
        <v>0</v>
      </c>
      <c r="AF5" s="10">
        <v>36125815.93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</row>
  </sheetData>
  <pageMargins left="0.7" right="0.7" top="0.75" bottom="0.75" header="0.3" footer="0.3"/>
  <ignoredErrors>
    <ignoredError sqref="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194A-C864-48BE-BCE9-B460791F9742}">
  <sheetPr>
    <tabColor rgb="FF7030A0"/>
  </sheetPr>
  <dimension ref="A1:N34"/>
  <sheetViews>
    <sheetView zoomScale="80" zoomScaleNormal="80" zoomScaleSheetLayoutView="85" workbookViewId="0">
      <selection activeCell="O18" sqref="O18"/>
    </sheetView>
  </sheetViews>
  <sheetFormatPr baseColWidth="10" defaultRowHeight="14.4" x14ac:dyDescent="0.3"/>
  <cols>
    <col min="1" max="1" width="11.33203125" customWidth="1"/>
    <col min="2" max="2" width="10.6640625" customWidth="1"/>
    <col min="12" max="12" width="16.6640625" bestFit="1" customWidth="1"/>
    <col min="13" max="13" width="18.77734375" customWidth="1"/>
    <col min="14" max="14" width="12.109375" bestFit="1" customWidth="1"/>
  </cols>
  <sheetData>
    <row r="1" spans="1:13" ht="18" x14ac:dyDescent="0.3">
      <c r="G1" s="16" t="s">
        <v>55</v>
      </c>
      <c r="L1" s="16" t="s">
        <v>56</v>
      </c>
      <c r="M1" s="19" t="s">
        <v>19</v>
      </c>
    </row>
    <row r="2" spans="1:13" ht="18" x14ac:dyDescent="0.35">
      <c r="A2" s="17"/>
      <c r="L2" s="16" t="s">
        <v>57</v>
      </c>
      <c r="M2" s="19" t="s">
        <v>77</v>
      </c>
    </row>
    <row r="3" spans="1:13" ht="23.4" x14ac:dyDescent="0.45">
      <c r="G3" s="18" t="s">
        <v>58</v>
      </c>
      <c r="L3" s="16" t="s">
        <v>59</v>
      </c>
      <c r="M3" s="19" t="s">
        <v>28</v>
      </c>
    </row>
    <row r="4" spans="1:13" ht="18" x14ac:dyDescent="0.3">
      <c r="L4" s="16" t="s">
        <v>60</v>
      </c>
      <c r="M4" s="20">
        <v>0.66666666666666663</v>
      </c>
    </row>
    <row r="5" spans="1:13" ht="15" thickBot="1" x14ac:dyDescent="0.35"/>
    <row r="6" spans="1:13" ht="15" thickBot="1" x14ac:dyDescent="0.35">
      <c r="A6" s="21" t="s">
        <v>14</v>
      </c>
      <c r="B6" s="22"/>
      <c r="C6" s="21" t="s">
        <v>61</v>
      </c>
      <c r="D6" s="23"/>
      <c r="E6" s="23"/>
      <c r="F6" s="23"/>
      <c r="G6" s="23"/>
      <c r="H6" s="23"/>
      <c r="I6" s="23"/>
      <c r="J6" s="23"/>
      <c r="K6" s="22"/>
      <c r="L6" s="24" t="s">
        <v>62</v>
      </c>
      <c r="M6" s="24" t="s">
        <v>63</v>
      </c>
    </row>
    <row r="7" spans="1:13" x14ac:dyDescent="0.3">
      <c r="A7" t="s">
        <v>79</v>
      </c>
      <c r="B7" s="25"/>
      <c r="C7" t="s">
        <v>80</v>
      </c>
      <c r="D7" s="25"/>
      <c r="E7" s="25"/>
      <c r="F7" s="25"/>
      <c r="G7" s="25"/>
      <c r="H7" s="25"/>
      <c r="I7" s="25"/>
      <c r="J7" s="25"/>
      <c r="K7" s="25"/>
      <c r="L7" s="27">
        <v>290214727.75</v>
      </c>
      <c r="M7" s="26"/>
    </row>
    <row r="8" spans="1:13" x14ac:dyDescent="0.3">
      <c r="A8" t="s">
        <v>81</v>
      </c>
      <c r="C8" t="s">
        <v>82</v>
      </c>
      <c r="L8" s="27">
        <v>209785272.25</v>
      </c>
      <c r="M8" s="26"/>
    </row>
    <row r="9" spans="1:13" x14ac:dyDescent="0.3">
      <c r="A9" t="s">
        <v>72</v>
      </c>
      <c r="C9" t="s">
        <v>73</v>
      </c>
      <c r="L9" s="27"/>
      <c r="M9" s="26">
        <v>290214727.75</v>
      </c>
    </row>
    <row r="10" spans="1:13" x14ac:dyDescent="0.3">
      <c r="A10" t="s">
        <v>74</v>
      </c>
      <c r="C10" t="s">
        <v>75</v>
      </c>
      <c r="L10" s="27"/>
      <c r="M10" s="26">
        <v>209785272.25</v>
      </c>
    </row>
    <row r="11" spans="1:13" x14ac:dyDescent="0.3">
      <c r="A11" s="33"/>
      <c r="C11" s="15"/>
      <c r="L11" s="27"/>
      <c r="M11" s="26"/>
    </row>
    <row r="12" spans="1:13" x14ac:dyDescent="0.3">
      <c r="A12" s="33"/>
      <c r="C12" s="15"/>
      <c r="L12" s="27"/>
      <c r="M12" s="26"/>
    </row>
    <row r="13" spans="1:13" x14ac:dyDescent="0.3">
      <c r="A13" s="33"/>
      <c r="C13" s="15"/>
      <c r="L13" s="27"/>
      <c r="M13" s="26"/>
    </row>
    <row r="14" spans="1:13" x14ac:dyDescent="0.3">
      <c r="A14" s="33"/>
      <c r="C14" s="15"/>
      <c r="L14" s="27"/>
      <c r="M14" s="26"/>
    </row>
    <row r="15" spans="1:13" x14ac:dyDescent="0.3">
      <c r="A15" s="33"/>
      <c r="C15" s="15"/>
      <c r="L15" s="10"/>
      <c r="M15" s="26"/>
    </row>
    <row r="16" spans="1:13" x14ac:dyDescent="0.3">
      <c r="A16" s="33"/>
      <c r="C16" s="15"/>
      <c r="L16" s="10"/>
      <c r="M16" s="26"/>
    </row>
    <row r="17" spans="1:14" x14ac:dyDescent="0.3">
      <c r="L17" s="27"/>
      <c r="M17" s="26"/>
    </row>
    <row r="18" spans="1:14" x14ac:dyDescent="0.3">
      <c r="L18" s="27"/>
      <c r="M18" s="26"/>
    </row>
    <row r="19" spans="1:14" x14ac:dyDescent="0.3">
      <c r="L19" s="27"/>
      <c r="M19" s="26"/>
    </row>
    <row r="20" spans="1:14" x14ac:dyDescent="0.3">
      <c r="L20" s="27"/>
      <c r="M20" s="26"/>
    </row>
    <row r="21" spans="1:14" x14ac:dyDescent="0.3">
      <c r="L21" s="27"/>
      <c r="M21" s="26"/>
    </row>
    <row r="22" spans="1:14" x14ac:dyDescent="0.3">
      <c r="L22" s="27"/>
      <c r="M22" s="26"/>
    </row>
    <row r="23" spans="1:14" x14ac:dyDescent="0.3">
      <c r="L23" s="27"/>
      <c r="M23" s="26"/>
    </row>
    <row r="24" spans="1:14" x14ac:dyDescent="0.3">
      <c r="L24" s="27"/>
      <c r="M24" s="26"/>
    </row>
    <row r="25" spans="1:14" x14ac:dyDescent="0.3">
      <c r="L25" s="27"/>
      <c r="M25" s="26"/>
    </row>
    <row r="26" spans="1:14" x14ac:dyDescent="0.3">
      <c r="L26" s="27"/>
      <c r="M26" s="26"/>
    </row>
    <row r="27" spans="1:14" ht="15" thickBot="1" x14ac:dyDescent="0.3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0"/>
    </row>
    <row r="28" spans="1:14" x14ac:dyDescent="0.3">
      <c r="J28" s="31" t="s">
        <v>64</v>
      </c>
      <c r="L28" s="32">
        <f>SUM(L7:L27)</f>
        <v>500000000</v>
      </c>
      <c r="M28" s="32">
        <f>SUM(M7:M27)</f>
        <v>500000000</v>
      </c>
      <c r="N28" s="27"/>
    </row>
    <row r="29" spans="1:14" ht="15" thickBot="1" x14ac:dyDescent="0.35"/>
    <row r="30" spans="1:14" ht="15" thickBot="1" x14ac:dyDescent="0.35">
      <c r="A30" s="24" t="s">
        <v>65</v>
      </c>
      <c r="B30" s="21" t="str">
        <f>'Tabla de polizas'!M2</f>
        <v>PRESUPUESTO INICIAL 2024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2"/>
    </row>
    <row r="31" spans="1:14" ht="15" thickBot="1" x14ac:dyDescent="0.35"/>
    <row r="32" spans="1:14" ht="15" thickBot="1" x14ac:dyDescent="0.35">
      <c r="A32" s="37" t="s">
        <v>66</v>
      </c>
      <c r="B32" s="38"/>
      <c r="C32" s="38"/>
      <c r="D32" s="38"/>
      <c r="E32" s="39"/>
      <c r="F32" s="37" t="s">
        <v>67</v>
      </c>
      <c r="G32" s="38"/>
      <c r="H32" s="38"/>
      <c r="I32" s="38"/>
      <c r="J32" s="39"/>
      <c r="K32" s="37" t="s">
        <v>68</v>
      </c>
      <c r="L32" s="38"/>
      <c r="M32" s="39"/>
    </row>
    <row r="33" spans="1:13" ht="72.599999999999994" customHeight="1" thickBot="1" x14ac:dyDescent="0.35">
      <c r="A33" s="37"/>
      <c r="B33" s="38"/>
      <c r="C33" s="38"/>
      <c r="D33" s="38"/>
      <c r="E33" s="39"/>
      <c r="F33" s="37"/>
      <c r="G33" s="38"/>
      <c r="H33" s="38"/>
      <c r="I33" s="38"/>
      <c r="J33" s="39"/>
      <c r="K33" s="37"/>
      <c r="L33" s="38"/>
      <c r="M33" s="39"/>
    </row>
    <row r="34" spans="1:13" ht="29.4" customHeight="1" thickBot="1" x14ac:dyDescent="0.35">
      <c r="A34" s="37" t="s">
        <v>69</v>
      </c>
      <c r="B34" s="38"/>
      <c r="C34" s="38"/>
      <c r="D34" s="38"/>
      <c r="E34" s="39"/>
      <c r="F34" s="37" t="s">
        <v>70</v>
      </c>
      <c r="G34" s="38"/>
      <c r="H34" s="38"/>
      <c r="I34" s="38"/>
      <c r="J34" s="39"/>
      <c r="K34" s="40" t="s">
        <v>71</v>
      </c>
      <c r="L34" s="41"/>
      <c r="M34" s="42"/>
    </row>
  </sheetData>
  <mergeCells count="9">
    <mergeCell ref="A34:E34"/>
    <mergeCell ref="F34:J34"/>
    <mergeCell ref="K34:M34"/>
    <mergeCell ref="A32:E32"/>
    <mergeCell ref="F32:J32"/>
    <mergeCell ref="K32:M32"/>
    <mergeCell ref="A33:E33"/>
    <mergeCell ref="F33:J33"/>
    <mergeCell ref="K33:M33"/>
  </mergeCells>
  <pageMargins left="0.7" right="0.7" top="0.75" bottom="0.75" header="0.3" footer="0.3"/>
  <pageSetup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de Carga 7</vt:lpstr>
      <vt:lpstr>Proceso Aut 7</vt:lpstr>
      <vt:lpstr>Tabla de polizas</vt:lpstr>
      <vt:lpstr>Poliza vista apro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Cesar Tejedor Puente</cp:lastModifiedBy>
  <dcterms:created xsi:type="dcterms:W3CDTF">2023-12-28T18:45:51Z</dcterms:created>
  <dcterms:modified xsi:type="dcterms:W3CDTF">2024-01-18T16:08:35Z</dcterms:modified>
</cp:coreProperties>
</file>