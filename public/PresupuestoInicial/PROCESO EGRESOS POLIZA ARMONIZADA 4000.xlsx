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fcpc\OneDrive\Escritorio\"/>
    </mc:Choice>
  </mc:AlternateContent>
  <xr:revisionPtr revIDLastSave="0" documentId="13_ncr:1_{ADEB51A0-E1A3-4FE1-A131-6EEF59F232B9}" xr6:coauthVersionLast="47" xr6:coauthVersionMax="47" xr10:uidLastSave="{00000000-0000-0000-0000-000000000000}"/>
  <bookViews>
    <workbookView xWindow="-96" yWindow="0" windowWidth="19752" windowHeight="12336" activeTab="3" xr2:uid="{D5EA5309-C82F-4CC7-B652-D8F0609F03B5}"/>
  </bookViews>
  <sheets>
    <sheet name="Formato de Carga 4" sheetId="5" r:id="rId1"/>
    <sheet name="Proceso Aut 4" sheetId="4" r:id="rId2"/>
    <sheet name="Tabla de polizas" sheetId="7" r:id="rId3"/>
    <sheet name="Poliza vista apro" sheetId="9" r:id="rId4"/>
  </sheets>
  <externalReferences>
    <externalReference r:id="rId5"/>
  </externalReference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9" l="1"/>
  <c r="O3" i="4"/>
  <c r="O4" i="4"/>
  <c r="O5" i="4"/>
  <c r="O6" i="4"/>
  <c r="O7" i="4"/>
  <c r="O8" i="4"/>
  <c r="O9" i="4"/>
  <c r="O2" i="4"/>
  <c r="AM3" i="4"/>
  <c r="AM4" i="4"/>
  <c r="AM5" i="4"/>
  <c r="AM6" i="4"/>
  <c r="AM7" i="4"/>
  <c r="AM8" i="4"/>
  <c r="AM9" i="4"/>
  <c r="AM2" i="4"/>
  <c r="AK3" i="4"/>
  <c r="AK4" i="4"/>
  <c r="AK5" i="4"/>
  <c r="AK6" i="4"/>
  <c r="AK7" i="4"/>
  <c r="AK8" i="4"/>
  <c r="AK9" i="4"/>
  <c r="AK2" i="4"/>
  <c r="AI3" i="4"/>
  <c r="AI4" i="4"/>
  <c r="AI5" i="4"/>
  <c r="AI6" i="4"/>
  <c r="AI7" i="4"/>
  <c r="AI8" i="4"/>
  <c r="AI9" i="4"/>
  <c r="AI2" i="4"/>
  <c r="AG3" i="4"/>
  <c r="AG4" i="4"/>
  <c r="AG5" i="4"/>
  <c r="AG6" i="4"/>
  <c r="AG7" i="4"/>
  <c r="AG8" i="4"/>
  <c r="AG9" i="4"/>
  <c r="AG2" i="4"/>
  <c r="AE3" i="4"/>
  <c r="AE4" i="4"/>
  <c r="AE5" i="4"/>
  <c r="AE6" i="4"/>
  <c r="AE7" i="4"/>
  <c r="AE8" i="4"/>
  <c r="AE9" i="4"/>
  <c r="AE2" i="4"/>
  <c r="AC3" i="4"/>
  <c r="AC4" i="4"/>
  <c r="AC5" i="4"/>
  <c r="AC6" i="4"/>
  <c r="AC7" i="4"/>
  <c r="AC8" i="4"/>
  <c r="AC9" i="4"/>
  <c r="AC2" i="4"/>
  <c r="AA3" i="4"/>
  <c r="AA4" i="4"/>
  <c r="AA5" i="4"/>
  <c r="AA6" i="4"/>
  <c r="AA7" i="4"/>
  <c r="AA8" i="4"/>
  <c r="AA9" i="4"/>
  <c r="AA2" i="4"/>
  <c r="Y3" i="4"/>
  <c r="Y4" i="4"/>
  <c r="Y5" i="4"/>
  <c r="Y6" i="4"/>
  <c r="Y7" i="4"/>
  <c r="Y8" i="4"/>
  <c r="Y9" i="4"/>
  <c r="Y2" i="4"/>
  <c r="W3" i="4"/>
  <c r="W4" i="4"/>
  <c r="W5" i="4"/>
  <c r="W6" i="4"/>
  <c r="W7" i="4"/>
  <c r="W8" i="4"/>
  <c r="W9" i="4"/>
  <c r="W2" i="4"/>
  <c r="U3" i="4"/>
  <c r="U4" i="4"/>
  <c r="U5" i="4"/>
  <c r="U6" i="4"/>
  <c r="U7" i="4"/>
  <c r="U8" i="4"/>
  <c r="U9" i="4"/>
  <c r="U2" i="4"/>
  <c r="S3" i="4"/>
  <c r="S4" i="4"/>
  <c r="S5" i="4"/>
  <c r="S6" i="4"/>
  <c r="S7" i="4"/>
  <c r="S8" i="4"/>
  <c r="S9" i="4"/>
  <c r="S2" i="4"/>
  <c r="Q3" i="4"/>
  <c r="Q4" i="4"/>
  <c r="Q5" i="4"/>
  <c r="Q6" i="4"/>
  <c r="Q7" i="4"/>
  <c r="Q8" i="4"/>
  <c r="Q9" i="4"/>
  <c r="Q2" i="4"/>
  <c r="K2" i="5"/>
  <c r="K5" i="5" l="1"/>
  <c r="M1" i="9"/>
  <c r="B30" i="9"/>
  <c r="M28" i="9"/>
  <c r="L28" i="9"/>
  <c r="K9" i="5" l="1"/>
  <c r="K8" i="5"/>
  <c r="K7" i="5"/>
  <c r="K6" i="5"/>
  <c r="K4" i="5"/>
  <c r="K3" i="5"/>
</calcChain>
</file>

<file path=xl/sharedStrings.xml><?xml version="1.0" encoding="utf-8"?>
<sst xmlns="http://schemas.openxmlformats.org/spreadsheetml/2006/main" count="562" uniqueCount="115">
  <si>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</si>
  <si>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</si>
  <si>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</si>
  <si>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</si>
  <si>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</si>
  <si>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</si>
  <si>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</si>
  <si>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</si>
  <si>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</si>
  <si>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</si>
  <si>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</si>
  <si>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</si>
  <si>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1.5.02</t>
  </si>
  <si>
    <t>1.6.01</t>
  </si>
  <si>
    <t>Area Ejecutora</t>
  </si>
  <si>
    <t>COG</t>
  </si>
  <si>
    <t>Cuenta</t>
  </si>
  <si>
    <t>DESCRIPCIÓN</t>
  </si>
  <si>
    <t>TOTAL</t>
  </si>
  <si>
    <t>CONCEPTO</t>
  </si>
  <si>
    <t>TIPO</t>
  </si>
  <si>
    <t>P</t>
  </si>
  <si>
    <t>CA</t>
  </si>
  <si>
    <t>CFG</t>
  </si>
  <si>
    <t>CP</t>
  </si>
  <si>
    <t>CTG</t>
  </si>
  <si>
    <t>2.6.2</t>
  </si>
  <si>
    <t>J</t>
  </si>
  <si>
    <t>PRESUPUESTO INICIAL 2024</t>
  </si>
  <si>
    <t>Numero poliza</t>
  </si>
  <si>
    <t>01/01/2024</t>
  </si>
  <si>
    <t>TOTAL CARGO</t>
  </si>
  <si>
    <t>TOTAL ABONO</t>
  </si>
  <si>
    <t>ENERO CARGO</t>
  </si>
  <si>
    <t>ENERO ABONO</t>
  </si>
  <si>
    <t>FEBRERO CARGO</t>
  </si>
  <si>
    <t>FEBRERO ABONO</t>
  </si>
  <si>
    <t>MARZO CARGO</t>
  </si>
  <si>
    <t>MARZO ABONO</t>
  </si>
  <si>
    <t>ABRIL CARGO</t>
  </si>
  <si>
    <t>ABRIL ABONO</t>
  </si>
  <si>
    <t>MAYO CARGO</t>
  </si>
  <si>
    <t>MAYO ABONO</t>
  </si>
  <si>
    <t>JUNIO CARGO</t>
  </si>
  <si>
    <t>JUNIO ABONO</t>
  </si>
  <si>
    <t>JULIO CARGO</t>
  </si>
  <si>
    <t>JULIO ABONO</t>
  </si>
  <si>
    <t>AGOSTO CARGO</t>
  </si>
  <si>
    <t>AGOSTO ABONO</t>
  </si>
  <si>
    <t>SEPTIEMBRE CARGO</t>
  </si>
  <si>
    <t>SEPTIEMBRE ABONO</t>
  </si>
  <si>
    <t>OCTUBRE CARGO</t>
  </si>
  <si>
    <t>OCTUBRE ABONO</t>
  </si>
  <si>
    <t>NOVIEMBRE CARGO</t>
  </si>
  <si>
    <t>NOVIEMBRE ABONO</t>
  </si>
  <si>
    <t>DICIEMBRE CARGO</t>
  </si>
  <si>
    <t>DICIEMBRE ABONO</t>
  </si>
  <si>
    <t>INSTITUTO DE PENSIONES DEL ESTADO DE VERACRUZ</t>
  </si>
  <si>
    <t>Tipo</t>
  </si>
  <si>
    <t>No.</t>
  </si>
  <si>
    <t>POLIZA DE PRESUPUESTAL</t>
  </si>
  <si>
    <t>Fecha</t>
  </si>
  <si>
    <t>Hora</t>
  </si>
  <si>
    <t>Descripción</t>
  </si>
  <si>
    <t xml:space="preserve">Cargo </t>
  </si>
  <si>
    <t>Abono</t>
  </si>
  <si>
    <t>TOTALES</t>
  </si>
  <si>
    <t>Concepto</t>
  </si>
  <si>
    <t>REGISTRÓ</t>
  </si>
  <si>
    <t>VALIDÓ REGISTRO</t>
  </si>
  <si>
    <t>AUTORIZÓ REGISTRO</t>
  </si>
  <si>
    <t>L.A. ANAYUTH ORORIO LOPEZ</t>
  </si>
  <si>
    <t>C.P. ANIBAL ANDRADE DIAZ</t>
  </si>
  <si>
    <t>L.C. CLAUDIA IVONNE TEJEDA CHIMALPOPOCA</t>
  </si>
  <si>
    <t>8.2.1.5.2.5.1.01.01</t>
  </si>
  <si>
    <t>Pensiones con Recursos Propios (Aprobado)</t>
  </si>
  <si>
    <t>8.2.1.5.2.5.1.01.02</t>
  </si>
  <si>
    <t>Pensiones con Subsidios Federal (Aprobado)</t>
  </si>
  <si>
    <t>8.2.1.5.2.5.1.01.03</t>
  </si>
  <si>
    <t>Pensiones con Subsidio Estatal (Aprobado)</t>
  </si>
  <si>
    <t>8.2.1.5.2.5.9.01.01</t>
  </si>
  <si>
    <t>Gastos de Funeral (Aprobado)</t>
  </si>
  <si>
    <t>8.2.1.5.2.5.9.01.02</t>
  </si>
  <si>
    <t>Indeminización global (Aprobado)</t>
  </si>
  <si>
    <t>8.2.1.5.2.5.9.01.03</t>
  </si>
  <si>
    <t>Gratificación anual (Aprobado)</t>
  </si>
  <si>
    <t>8.2.1.5.2.5.9.01.04</t>
  </si>
  <si>
    <t>Seguro IMSS Pensionado (Aprobado)</t>
  </si>
  <si>
    <t>8.2.1.5.2.1.2.05.01</t>
  </si>
  <si>
    <t>Transferencias internas otorgadas a fideicomisos públicos financieros (Aprobado)</t>
  </si>
  <si>
    <t>45101</t>
  </si>
  <si>
    <t>45102</t>
  </si>
  <si>
    <t>45103</t>
  </si>
  <si>
    <t>45901</t>
  </si>
  <si>
    <t>45902</t>
  </si>
  <si>
    <t>45903</t>
  </si>
  <si>
    <t>45904</t>
  </si>
  <si>
    <t>5</t>
  </si>
  <si>
    <t>15:00</t>
  </si>
  <si>
    <t>8.2.2.5.2.1.2.05.01</t>
  </si>
  <si>
    <t>Transferencias internas otorgadas a fideicomisos públicos financieros (Por ejercer)</t>
  </si>
  <si>
    <t>8.2.2.5.2.5.1.01.01</t>
  </si>
  <si>
    <t>Pensiones con Recursos Propios (Por ejercer)</t>
  </si>
  <si>
    <t>8.2.2.5.2.5.1.01.02</t>
  </si>
  <si>
    <t>Pensiones con Subsidios Federal (Por ejercer)</t>
  </si>
  <si>
    <t>8.2.2.5.2.5.1.01.03</t>
  </si>
  <si>
    <t>Pensiones con Subsidio Estatal (Por ejercer)</t>
  </si>
  <si>
    <t>8.2.2.5.2.5.9.01.01</t>
  </si>
  <si>
    <t>Gastos de Funeral (Por ejercer)</t>
  </si>
  <si>
    <t>8.2.2.5.2.5.9.01.02</t>
  </si>
  <si>
    <t>Indeminización global (Por ejercer)</t>
  </si>
  <si>
    <t>8.2.2.5.2.5.9.01.03</t>
  </si>
  <si>
    <t>Gratificación anual (Por ejercer)</t>
  </si>
  <si>
    <t>8.2.2.5.2.5.9.01.04</t>
  </si>
  <si>
    <t>Seguro IMSS Pensionado (Por ejercer)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</si>
</sst>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Alignment="1">
      <alignment horizont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wrapText="1"/>
    </xf>
    <xf numFmtId="2" fontId="3" fillId="5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49" fontId="4" fillId="4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top" readingOrder="1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9" xfId="0" applyNumberFormat="1" applyBorder="1"/>
    <xf numFmtId="4" fontId="0" fillId="0" borderId="0" xfId="0" applyNumberFormat="1"/>
    <xf numFmtId="0" fontId="0" fillId="0" borderId="10" xfId="0" applyBorder="1"/>
    <xf numFmtId="0" fontId="0" fillId="0" borderId="11" xfId="0" applyBorder="1"/>
    <xf numFmtId="4" fontId="0" fillId="0" borderId="12" xfId="0" applyNumberFormat="1" applyBorder="1"/>
    <xf numFmtId="0" fontId="5" fillId="0" borderId="0" xfId="0" applyFont="1" applyAlignment="1">
      <alignment horizontal="right"/>
    </xf>
    <xf numFmtId="4" fontId="5" fillId="0" borderId="0" xfId="0" applyNumberFormat="1" applyFont="1"/>
    <xf numFmtId="0" fontId="6" fillId="0" borderId="2" xfId="0" applyFont="1" applyBorder="1" applyAlignment="1">
      <alignment vertical="top" readingOrder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4" fontId="0" fillId="2" borderId="0" xfId="0" applyNumberFormat="1" applyFill="1"/>
    <xf numFmtId="0" fontId="0" fillId="0" borderId="0" xfId="0" applyAlignment="1">
      <alignment horizontal="center"/>
    </xf>
    <xf numFmtId="4" fontId="0" fillId="0" borderId="0" xfId="0" applyNumberFormat="1" applyAlignment="1">
      <alignment wrapText="1"/>
    </xf>
    <xf numFmtId="0" fontId="0" fillId="2" borderId="0" xfId="0" applyNumberFormat="1" applyFill="1"/>
  </cellXfs>
  <cellStyles count="2">
    <cellStyle name="Normal" xfId="0" builtinId="0"/>
    <cellStyle name="Normal 2" xfId="1" xr:uid="{CED65EDC-080B-433C-99B7-A1FFE802BC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0</xdr:rowOff>
    </xdr:from>
    <xdr:to>
      <xdr:col>3</xdr:col>
      <xdr:colOff>409752</xdr:colOff>
      <xdr:row>3</xdr:row>
      <xdr:rowOff>45720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3453A8-6D28-4E5D-B9A8-DBBB2002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0"/>
          <a:ext cx="1926132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2357c58bfaa3c7d/Escritorio/mandar%20a%20tecnologias.xlsx" TargetMode="External"/><Relationship Id="rId1" Type="http://schemas.openxmlformats.org/officeDocument/2006/relationships/externalLinkPath" Target="https://d.docs.live.net/72357c58bfaa3c7d/Escritorio/mandar%20a%20tecnolog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 de carga ppto"/>
      <sheetName val="Proceso aut"/>
      <sheetName val="Acumulado de poliza inicial"/>
      <sheetName val="Poliza vista"/>
      <sheetName val="RPI"/>
      <sheetName val="RPA"/>
      <sheetName val="RPR"/>
      <sheetName val="RPP"/>
      <sheetName val="RPD"/>
      <sheetName val="RPRC"/>
      <sheetName val="EAI"/>
      <sheetName val="Balanza"/>
    </sheetNames>
    <sheetDataSet>
      <sheetData sheetId="0"/>
      <sheetData sheetId="1"/>
      <sheetData sheetId="2">
        <row r="2">
          <cell r="B2" t="str">
            <v>P</v>
          </cell>
          <cell r="J2" t="str">
            <v>PRESUPUESTO INICIAL 2024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B356-E8E6-4902-AA25-5288A335BBFE}">
  <dimension ref="A1:AB29"/>
  <sheetViews>
    <sheetView topLeftCell="L1" zoomScale="90" zoomScaleNormal="90" workbookViewId="0">
      <selection activeCell="C2" sqref="C2:I9"/>
    </sheetView>
  </sheetViews>
  <sheetFormatPr baseColWidth="10" defaultRowHeight="14.4" x14ac:dyDescent="0.3"/>
  <cols>
    <col min="1" max="1" width="11.44140625" customWidth="1"/>
    <col min="2" max="2" width="5.5546875" bestFit="1" customWidth="1"/>
    <col min="3" max="3" width="6.6640625" bestFit="1" customWidth="1"/>
    <col min="4" max="4" width="17.88671875" bestFit="1" customWidth="1"/>
    <col min="5" max="5" width="5.44140625" bestFit="1" customWidth="1"/>
    <col min="6" max="6" width="3.5546875" bestFit="1" customWidth="1"/>
    <col min="7" max="7" width="4.77734375" bestFit="1" customWidth="1"/>
    <col min="8" max="8" width="16.5546875" bestFit="1" customWidth="1"/>
    <col min="9" max="9" width="52.6640625" customWidth="1"/>
    <col min="10" max="10" width="27.5546875" customWidth="1"/>
    <col min="11" max="11" width="16.33203125" style="10" bestFit="1" customWidth="1"/>
    <col min="12" max="22" width="14.6640625" style="10" bestFit="1" customWidth="1"/>
    <col min="23" max="23" width="16.44140625" style="10" bestFit="1" customWidth="1"/>
  </cols>
  <sheetData>
    <row r="1" spans="1:28" ht="31.8" thickBot="1" x14ac:dyDescent="0.35">
      <c r="A1" s="5" t="s">
        <v>14</v>
      </c>
      <c r="B1" s="5" t="s">
        <v>20</v>
      </c>
      <c r="C1" s="6" t="s">
        <v>15</v>
      </c>
      <c r="D1" s="6" t="s">
        <v>22</v>
      </c>
      <c r="E1" s="6" t="s">
        <v>23</v>
      </c>
      <c r="F1" s="5" t="s">
        <v>24</v>
      </c>
      <c r="G1" s="6" t="s">
        <v>25</v>
      </c>
      <c r="H1" s="6" t="s">
        <v>16</v>
      </c>
      <c r="I1" s="6" t="s">
        <v>17</v>
      </c>
      <c r="J1" s="6" t="s">
        <v>19</v>
      </c>
      <c r="K1" s="9" t="s">
        <v>18</v>
      </c>
      <c r="L1" s="9" t="s">
        <v>0</v>
      </c>
      <c r="M1" s="9" t="s">
        <v>1</v>
      </c>
      <c r="N1" s="9" t="s">
        <v>2</v>
      </c>
      <c r="O1" s="9" t="s">
        <v>3</v>
      </c>
      <c r="P1" s="9" t="s">
        <v>4</v>
      </c>
      <c r="Q1" s="9" t="s">
        <v>5</v>
      </c>
      <c r="R1" s="9" t="s">
        <v>6</v>
      </c>
      <c r="S1" s="9" t="s">
        <v>7</v>
      </c>
      <c r="T1" s="9" t="s">
        <v>8</v>
      </c>
      <c r="U1" s="9" t="s">
        <v>9</v>
      </c>
      <c r="V1" s="9" t="s">
        <v>10</v>
      </c>
      <c r="W1" s="9" t="s">
        <v>11</v>
      </c>
    </row>
    <row r="2" spans="1:28" s="3" customFormat="1" x14ac:dyDescent="0.3">
      <c r="A2" s="4" t="s">
        <v>13</v>
      </c>
      <c r="B2" s="4" t="s">
        <v>21</v>
      </c>
      <c r="C2" s="1">
        <v>41901</v>
      </c>
      <c r="D2" s="7">
        <v>211210080470100</v>
      </c>
      <c r="E2" t="s">
        <v>26</v>
      </c>
      <c r="F2" s="42" t="s">
        <v>27</v>
      </c>
      <c r="G2" s="42">
        <v>2</v>
      </c>
      <c r="H2" s="1" t="s">
        <v>88</v>
      </c>
      <c r="I2" s="1" t="s">
        <v>89</v>
      </c>
      <c r="J2" s="8" t="s">
        <v>28</v>
      </c>
      <c r="K2" s="41">
        <f>SUM(L2:W2)</f>
        <v>91500000</v>
      </c>
      <c r="L2" s="41">
        <v>0</v>
      </c>
      <c r="M2" s="41">
        <v>35000000</v>
      </c>
      <c r="N2" s="41">
        <v>0</v>
      </c>
      <c r="O2" s="41">
        <v>0</v>
      </c>
      <c r="P2" s="41">
        <v>18800000</v>
      </c>
      <c r="Q2" s="41">
        <v>0</v>
      </c>
      <c r="R2" s="41">
        <v>0</v>
      </c>
      <c r="S2" s="41">
        <v>18800000</v>
      </c>
      <c r="T2" s="41">
        <v>0</v>
      </c>
      <c r="U2" s="41">
        <v>0</v>
      </c>
      <c r="V2" s="41">
        <v>18900000</v>
      </c>
      <c r="W2" s="41">
        <v>0</v>
      </c>
      <c r="X2"/>
      <c r="Y2"/>
      <c r="Z2"/>
      <c r="AA2"/>
      <c r="AB2"/>
    </row>
    <row r="3" spans="1:28" s="3" customFormat="1" x14ac:dyDescent="0.3">
      <c r="A3" s="4" t="s">
        <v>12</v>
      </c>
      <c r="B3" s="4" t="s">
        <v>21</v>
      </c>
      <c r="C3" s="1" t="s">
        <v>90</v>
      </c>
      <c r="D3" s="7">
        <v>211210080470100</v>
      </c>
      <c r="E3" t="s">
        <v>26</v>
      </c>
      <c r="F3" s="42" t="s">
        <v>27</v>
      </c>
      <c r="G3" s="42">
        <v>4</v>
      </c>
      <c r="H3" s="1" t="s">
        <v>74</v>
      </c>
      <c r="I3" s="1" t="s">
        <v>75</v>
      </c>
      <c r="J3" s="8" t="s">
        <v>28</v>
      </c>
      <c r="K3" s="41">
        <f>SUM(L3:W3)</f>
        <v>4011166655</v>
      </c>
      <c r="L3" s="41">
        <v>334263888</v>
      </c>
      <c r="M3" s="41">
        <v>334263888</v>
      </c>
      <c r="N3" s="41">
        <v>334263888</v>
      </c>
      <c r="O3" s="41">
        <v>334263888</v>
      </c>
      <c r="P3" s="41">
        <v>334263888</v>
      </c>
      <c r="Q3" s="41">
        <v>334263888</v>
      </c>
      <c r="R3" s="41">
        <v>334263888</v>
      </c>
      <c r="S3" s="41">
        <v>334263888</v>
      </c>
      <c r="T3" s="41">
        <v>334263888</v>
      </c>
      <c r="U3" s="41">
        <v>334263888</v>
      </c>
      <c r="V3" s="41">
        <v>334263888</v>
      </c>
      <c r="W3" s="41">
        <v>334263887</v>
      </c>
      <c r="X3"/>
      <c r="Y3"/>
      <c r="Z3"/>
      <c r="AA3"/>
      <c r="AB3"/>
    </row>
    <row r="4" spans="1:28" s="3" customFormat="1" x14ac:dyDescent="0.3">
      <c r="A4" s="4" t="s">
        <v>12</v>
      </c>
      <c r="B4" s="4" t="s">
        <v>21</v>
      </c>
      <c r="C4" s="1" t="s">
        <v>91</v>
      </c>
      <c r="D4" s="7">
        <v>211210080470100</v>
      </c>
      <c r="E4" t="s">
        <v>26</v>
      </c>
      <c r="F4" s="42" t="s">
        <v>27</v>
      </c>
      <c r="G4" s="42">
        <v>4</v>
      </c>
      <c r="H4" s="1" t="s">
        <v>76</v>
      </c>
      <c r="I4" s="1" t="s">
        <v>77</v>
      </c>
      <c r="J4" s="8" t="s">
        <v>28</v>
      </c>
      <c r="K4" s="41">
        <f t="shared" ref="K4:K9" si="0">SUM(L4:W4)</f>
        <v>4000004987</v>
      </c>
      <c r="L4" s="41">
        <v>333333749</v>
      </c>
      <c r="M4" s="41">
        <v>333333749</v>
      </c>
      <c r="N4" s="41">
        <v>333333749</v>
      </c>
      <c r="O4" s="41">
        <v>333333749</v>
      </c>
      <c r="P4" s="41">
        <v>333333749</v>
      </c>
      <c r="Q4" s="41">
        <v>333333749</v>
      </c>
      <c r="R4" s="41">
        <v>333333749</v>
      </c>
      <c r="S4" s="41">
        <v>333333749</v>
      </c>
      <c r="T4" s="41">
        <v>333333749</v>
      </c>
      <c r="U4" s="41">
        <v>333333749</v>
      </c>
      <c r="V4" s="41">
        <v>333333749</v>
      </c>
      <c r="W4" s="41">
        <v>333333748</v>
      </c>
      <c r="X4"/>
      <c r="Y4"/>
      <c r="Z4"/>
      <c r="AA4"/>
      <c r="AB4"/>
    </row>
    <row r="5" spans="1:28" s="3" customFormat="1" x14ac:dyDescent="0.3">
      <c r="A5" s="4" t="s">
        <v>12</v>
      </c>
      <c r="B5" s="4" t="s">
        <v>21</v>
      </c>
      <c r="C5" s="1" t="s">
        <v>92</v>
      </c>
      <c r="D5" s="7">
        <v>211210080470100</v>
      </c>
      <c r="E5" t="s">
        <v>26</v>
      </c>
      <c r="F5" s="42" t="s">
        <v>27</v>
      </c>
      <c r="G5" s="42">
        <v>4</v>
      </c>
      <c r="H5" s="1" t="s">
        <v>78</v>
      </c>
      <c r="I5" s="1" t="s">
        <v>79</v>
      </c>
      <c r="J5" s="8" t="s">
        <v>28</v>
      </c>
      <c r="K5" s="41">
        <f t="shared" si="0"/>
        <v>343849422</v>
      </c>
      <c r="L5" s="41">
        <v>28654119</v>
      </c>
      <c r="M5" s="41">
        <v>28654119</v>
      </c>
      <c r="N5" s="41">
        <v>28654119</v>
      </c>
      <c r="O5" s="41">
        <v>28654119</v>
      </c>
      <c r="P5" s="41">
        <v>28654119</v>
      </c>
      <c r="Q5" s="41">
        <v>28654119</v>
      </c>
      <c r="R5" s="41">
        <v>28654119</v>
      </c>
      <c r="S5" s="41">
        <v>28654119</v>
      </c>
      <c r="T5" s="41">
        <v>28654119</v>
      </c>
      <c r="U5" s="41">
        <v>28654119</v>
      </c>
      <c r="V5" s="41">
        <v>28654119</v>
      </c>
      <c r="W5" s="41">
        <v>28654113</v>
      </c>
      <c r="X5"/>
      <c r="Y5"/>
      <c r="Z5"/>
      <c r="AA5"/>
      <c r="AB5"/>
    </row>
    <row r="6" spans="1:28" s="3" customFormat="1" x14ac:dyDescent="0.3">
      <c r="A6" s="4" t="s">
        <v>12</v>
      </c>
      <c r="B6" s="4" t="s">
        <v>21</v>
      </c>
      <c r="C6" s="1" t="s">
        <v>93</v>
      </c>
      <c r="D6" s="7">
        <v>211210080470100</v>
      </c>
      <c r="E6" t="s">
        <v>26</v>
      </c>
      <c r="F6" s="42" t="s">
        <v>27</v>
      </c>
      <c r="G6" s="42">
        <v>4</v>
      </c>
      <c r="H6" s="1" t="s">
        <v>80</v>
      </c>
      <c r="I6" s="1" t="s">
        <v>81</v>
      </c>
      <c r="J6" s="8" t="s">
        <v>28</v>
      </c>
      <c r="K6" s="41">
        <f t="shared" si="0"/>
        <v>13124620.219999999</v>
      </c>
      <c r="L6" s="41">
        <v>1047547.68</v>
      </c>
      <c r="M6" s="41">
        <v>1047547.68</v>
      </c>
      <c r="N6" s="41">
        <v>1047547.68</v>
      </c>
      <c r="O6" s="41">
        <v>1026547.68</v>
      </c>
      <c r="P6" s="41">
        <v>1047547.68</v>
      </c>
      <c r="Q6" s="41">
        <v>1335071.54</v>
      </c>
      <c r="R6" s="41">
        <v>1335071.54</v>
      </c>
      <c r="S6" s="41">
        <v>1047547.68</v>
      </c>
      <c r="T6" s="41">
        <v>1047547.68</v>
      </c>
      <c r="U6" s="41">
        <v>1047547.68</v>
      </c>
      <c r="V6" s="41">
        <v>1047547.68</v>
      </c>
      <c r="W6" s="41">
        <v>1047548.02</v>
      </c>
      <c r="X6"/>
      <c r="Y6"/>
      <c r="Z6"/>
      <c r="AA6"/>
      <c r="AB6"/>
    </row>
    <row r="7" spans="1:28" s="3" customFormat="1" x14ac:dyDescent="0.3">
      <c r="A7" s="4" t="s">
        <v>12</v>
      </c>
      <c r="B7" s="4" t="s">
        <v>21</v>
      </c>
      <c r="C7" s="1" t="s">
        <v>94</v>
      </c>
      <c r="D7" s="7">
        <v>211210080470100</v>
      </c>
      <c r="E7" t="s">
        <v>26</v>
      </c>
      <c r="F7" s="42" t="s">
        <v>27</v>
      </c>
      <c r="G7" s="42">
        <v>4</v>
      </c>
      <c r="H7" s="1" t="s">
        <v>82</v>
      </c>
      <c r="I7" s="1" t="s">
        <v>83</v>
      </c>
      <c r="J7" s="8" t="s">
        <v>28</v>
      </c>
      <c r="K7" s="41">
        <f t="shared" si="0"/>
        <v>43818733.079999998</v>
      </c>
      <c r="L7" s="41">
        <v>3491825.62</v>
      </c>
      <c r="M7" s="41">
        <v>3491825.62</v>
      </c>
      <c r="N7" s="41">
        <v>3491825.62</v>
      </c>
      <c r="O7" s="41">
        <v>3491825.62</v>
      </c>
      <c r="P7" s="41">
        <v>3491825.62</v>
      </c>
      <c r="Q7" s="41">
        <v>4450238.4400000004</v>
      </c>
      <c r="R7" s="41">
        <v>4450238.4400000004</v>
      </c>
      <c r="S7" s="41">
        <v>3491825.62</v>
      </c>
      <c r="T7" s="41">
        <v>3491825.62</v>
      </c>
      <c r="U7" s="41">
        <v>3491825.62</v>
      </c>
      <c r="V7" s="41">
        <v>3491825.62</v>
      </c>
      <c r="W7" s="41">
        <v>3491825.62</v>
      </c>
      <c r="X7"/>
      <c r="Y7"/>
      <c r="Z7"/>
      <c r="AA7"/>
      <c r="AB7"/>
    </row>
    <row r="8" spans="1:28" s="3" customFormat="1" x14ac:dyDescent="0.3">
      <c r="A8" s="4" t="s">
        <v>12</v>
      </c>
      <c r="B8" s="4" t="s">
        <v>21</v>
      </c>
      <c r="C8" s="1" t="s">
        <v>95</v>
      </c>
      <c r="D8" s="7">
        <v>211210080470100</v>
      </c>
      <c r="E8" t="s">
        <v>26</v>
      </c>
      <c r="F8" s="42" t="s">
        <v>27</v>
      </c>
      <c r="G8" s="42">
        <v>4</v>
      </c>
      <c r="H8" s="1" t="s">
        <v>84</v>
      </c>
      <c r="I8" s="1" t="s">
        <v>85</v>
      </c>
      <c r="J8" s="8" t="s">
        <v>28</v>
      </c>
      <c r="K8" s="41">
        <f t="shared" si="0"/>
        <v>1040692951.26</v>
      </c>
      <c r="L8" s="41">
        <v>2444277.94</v>
      </c>
      <c r="M8" s="41">
        <v>2444277.94</v>
      </c>
      <c r="N8" s="41">
        <v>2444277.94</v>
      </c>
      <c r="O8" s="41">
        <v>2444277.94</v>
      </c>
      <c r="P8" s="41">
        <v>2444277.94</v>
      </c>
      <c r="Q8" s="41">
        <v>3115166.9</v>
      </c>
      <c r="R8" s="41">
        <v>3115166.9</v>
      </c>
      <c r="S8" s="41">
        <v>2444277.94</v>
      </c>
      <c r="T8" s="41">
        <v>2444277.94</v>
      </c>
      <c r="U8" s="41">
        <v>2444277.94</v>
      </c>
      <c r="V8" s="41">
        <v>2444277.94</v>
      </c>
      <c r="W8" s="41">
        <v>1012464116</v>
      </c>
      <c r="X8"/>
      <c r="Y8"/>
      <c r="Z8"/>
      <c r="AA8"/>
      <c r="AB8"/>
    </row>
    <row r="9" spans="1:28" s="3" customFormat="1" x14ac:dyDescent="0.3">
      <c r="A9" s="4" t="s">
        <v>12</v>
      </c>
      <c r="B9" s="4" t="s">
        <v>21</v>
      </c>
      <c r="C9" s="1" t="s">
        <v>96</v>
      </c>
      <c r="D9" s="7">
        <v>211210080470100</v>
      </c>
      <c r="E9" t="s">
        <v>26</v>
      </c>
      <c r="F9" s="42" t="s">
        <v>27</v>
      </c>
      <c r="G9" s="42">
        <v>4</v>
      </c>
      <c r="H9" s="1" t="s">
        <v>86</v>
      </c>
      <c r="I9" s="1" t="s">
        <v>87</v>
      </c>
      <c r="J9" s="8" t="s">
        <v>28</v>
      </c>
      <c r="K9" s="41">
        <f t="shared" si="0"/>
        <v>633570835.43999994</v>
      </c>
      <c r="L9" s="41">
        <v>55976485.5</v>
      </c>
      <c r="M9" s="41">
        <v>51044508.479999997</v>
      </c>
      <c r="N9" s="41">
        <v>45844669.109999999</v>
      </c>
      <c r="O9" s="41">
        <v>49639220.219999999</v>
      </c>
      <c r="P9" s="41">
        <v>46191202.039999999</v>
      </c>
      <c r="Q9" s="41">
        <v>41214172.969999999</v>
      </c>
      <c r="R9" s="41">
        <v>45737216.07</v>
      </c>
      <c r="S9" s="41">
        <v>34832897.240000002</v>
      </c>
      <c r="T9" s="41">
        <v>38949312.840000004</v>
      </c>
      <c r="U9" s="41">
        <v>56203685.439999998</v>
      </c>
      <c r="V9" s="41">
        <v>50671956.369999997</v>
      </c>
      <c r="W9" s="41">
        <v>117265509.16</v>
      </c>
      <c r="X9"/>
      <c r="Y9"/>
      <c r="Z9"/>
      <c r="AA9"/>
      <c r="AB9"/>
    </row>
    <row r="10" spans="1:28" s="2" customFormat="1" x14ac:dyDescent="0.3">
      <c r="A10"/>
      <c r="B10"/>
      <c r="C10"/>
      <c r="D10"/>
      <c r="E10"/>
      <c r="F10"/>
      <c r="G10"/>
      <c r="H10"/>
      <c r="I10"/>
      <c r="J10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/>
      <c r="Y10"/>
      <c r="Z10"/>
      <c r="AA10"/>
      <c r="AB10"/>
    </row>
    <row r="11" spans="1:28" s="2" customFormat="1" x14ac:dyDescent="0.3">
      <c r="A11"/>
      <c r="B11"/>
      <c r="C11"/>
      <c r="D11"/>
      <c r="E11"/>
      <c r="F11"/>
      <c r="G11"/>
      <c r="H11"/>
      <c r="I11"/>
      <c r="J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/>
      <c r="Y11"/>
      <c r="Z11"/>
      <c r="AA11"/>
      <c r="AB11"/>
    </row>
    <row r="12" spans="1:28" s="2" customFormat="1" x14ac:dyDescent="0.3">
      <c r="A12"/>
      <c r="B12"/>
      <c r="C12"/>
      <c r="D12"/>
      <c r="E12"/>
      <c r="F12"/>
      <c r="G12"/>
      <c r="H12"/>
      <c r="I12"/>
      <c r="J12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/>
      <c r="Y12"/>
      <c r="Z12"/>
      <c r="AA12"/>
      <c r="AB12"/>
    </row>
    <row r="13" spans="1:28" s="2" customFormat="1" x14ac:dyDescent="0.3">
      <c r="A13"/>
      <c r="B13"/>
      <c r="C13"/>
      <c r="D13"/>
      <c r="E13"/>
      <c r="F13"/>
      <c r="G13"/>
      <c r="H13"/>
      <c r="I13"/>
      <c r="J1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/>
      <c r="Y13"/>
      <c r="Z13"/>
      <c r="AA13"/>
      <c r="AB13"/>
    </row>
    <row r="14" spans="1:28" s="2" customFormat="1" x14ac:dyDescent="0.3">
      <c r="A14"/>
      <c r="B14"/>
      <c r="C14"/>
      <c r="D14"/>
      <c r="E14"/>
      <c r="F14"/>
      <c r="G14"/>
      <c r="H14"/>
      <c r="I14"/>
      <c r="J14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/>
      <c r="Y14"/>
      <c r="Z14"/>
      <c r="AA14"/>
      <c r="AB14"/>
    </row>
    <row r="15" spans="1:28" s="2" customFormat="1" x14ac:dyDescent="0.3">
      <c r="A15"/>
      <c r="B15"/>
      <c r="C15"/>
      <c r="D15"/>
      <c r="E15"/>
      <c r="F15"/>
      <c r="G15"/>
      <c r="H15"/>
      <c r="I15"/>
      <c r="J15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/>
      <c r="Y15"/>
      <c r="Z15"/>
      <c r="AA15"/>
      <c r="AB15"/>
    </row>
    <row r="16" spans="1:28" s="2" customFormat="1" x14ac:dyDescent="0.3">
      <c r="A16"/>
      <c r="B16"/>
      <c r="C16"/>
      <c r="D16"/>
      <c r="E16"/>
      <c r="F16"/>
      <c r="G16"/>
      <c r="H16"/>
      <c r="I16"/>
      <c r="J1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/>
      <c r="Y16"/>
      <c r="Z16"/>
      <c r="AA16"/>
      <c r="AB16"/>
    </row>
    <row r="17" spans="1:28" s="2" customFormat="1" x14ac:dyDescent="0.3">
      <c r="A17"/>
      <c r="B17"/>
      <c r="C17"/>
      <c r="D17"/>
      <c r="E17"/>
      <c r="F17"/>
      <c r="G17"/>
      <c r="H17"/>
      <c r="I17"/>
      <c r="J1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/>
      <c r="Y17"/>
      <c r="Z17"/>
      <c r="AA17"/>
      <c r="AB17"/>
    </row>
    <row r="18" spans="1:28" s="2" customFormat="1" x14ac:dyDescent="0.3">
      <c r="A18"/>
      <c r="B18"/>
      <c r="C18"/>
      <c r="D18"/>
      <c r="E18"/>
      <c r="F18"/>
      <c r="G18"/>
      <c r="H18"/>
      <c r="I18"/>
      <c r="J1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/>
      <c r="Y18"/>
      <c r="Z18"/>
      <c r="AA18"/>
      <c r="AB18"/>
    </row>
    <row r="19" spans="1:28" s="2" customFormat="1" x14ac:dyDescent="0.3">
      <c r="A19"/>
      <c r="B19"/>
      <c r="C19"/>
      <c r="D19"/>
      <c r="E19"/>
      <c r="F19"/>
      <c r="G19"/>
      <c r="H19"/>
      <c r="I19"/>
      <c r="J1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/>
      <c r="Y19"/>
      <c r="Z19"/>
      <c r="AA19"/>
      <c r="AB19"/>
    </row>
    <row r="20" spans="1:28" s="2" customFormat="1" x14ac:dyDescent="0.3">
      <c r="A20"/>
      <c r="B20"/>
      <c r="C20"/>
      <c r="D20"/>
      <c r="E20"/>
      <c r="F20"/>
      <c r="G20"/>
      <c r="H20"/>
      <c r="I20"/>
      <c r="J2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/>
      <c r="Y20"/>
      <c r="Z20"/>
      <c r="AA20"/>
      <c r="AB20"/>
    </row>
    <row r="21" spans="1:28" s="2" customFormat="1" x14ac:dyDescent="0.3">
      <c r="A21"/>
      <c r="B21"/>
      <c r="C21"/>
      <c r="D21"/>
      <c r="E21"/>
      <c r="F21"/>
      <c r="G21"/>
      <c r="H21"/>
      <c r="I21"/>
      <c r="J2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/>
      <c r="Y21"/>
      <c r="Z21"/>
      <c r="AA21"/>
      <c r="AB21"/>
    </row>
    <row r="22" spans="1:28" s="2" customFormat="1" x14ac:dyDescent="0.3">
      <c r="A22"/>
      <c r="B22"/>
      <c r="C22"/>
      <c r="D22"/>
      <c r="E22"/>
      <c r="F22"/>
      <c r="G22"/>
      <c r="H22"/>
      <c r="I22"/>
      <c r="J22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/>
      <c r="Y22"/>
      <c r="Z22"/>
      <c r="AA22"/>
      <c r="AB22"/>
    </row>
    <row r="23" spans="1:28" s="2" customFormat="1" x14ac:dyDescent="0.3">
      <c r="A23"/>
      <c r="B23"/>
      <c r="C23"/>
      <c r="D23"/>
      <c r="E23"/>
      <c r="F23"/>
      <c r="G23"/>
      <c r="H23"/>
      <c r="I23"/>
      <c r="J23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/>
      <c r="Y23"/>
      <c r="Z23"/>
      <c r="AA23"/>
      <c r="AB23"/>
    </row>
    <row r="24" spans="1:28" s="2" customFormat="1" x14ac:dyDescent="0.3">
      <c r="A24"/>
      <c r="B24"/>
      <c r="C24"/>
      <c r="D24"/>
      <c r="E24"/>
      <c r="F24"/>
      <c r="G24"/>
      <c r="H24"/>
      <c r="I24"/>
      <c r="J2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/>
      <c r="Y24"/>
      <c r="Z24"/>
      <c r="AA24"/>
      <c r="AB24"/>
    </row>
    <row r="25" spans="1:28" s="2" customFormat="1" x14ac:dyDescent="0.3">
      <c r="A25"/>
      <c r="B25"/>
      <c r="C25"/>
      <c r="D25"/>
      <c r="E25"/>
      <c r="F25"/>
      <c r="G25"/>
      <c r="H25"/>
      <c r="I25"/>
      <c r="J25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/>
      <c r="Y25"/>
      <c r="Z25"/>
      <c r="AA25"/>
      <c r="AB25"/>
    </row>
    <row r="26" spans="1:28" s="2" customFormat="1" x14ac:dyDescent="0.3">
      <c r="A26"/>
      <c r="B26"/>
      <c r="C26"/>
      <c r="D26"/>
      <c r="E26"/>
      <c r="F26"/>
      <c r="G26"/>
      <c r="H26"/>
      <c r="I26"/>
      <c r="J26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/>
      <c r="Y26"/>
      <c r="Z26"/>
      <c r="AA26"/>
      <c r="AB26"/>
    </row>
    <row r="27" spans="1:28" s="2" customFormat="1" x14ac:dyDescent="0.3">
      <c r="A27"/>
      <c r="B27"/>
      <c r="C27"/>
      <c r="D27"/>
      <c r="E27"/>
      <c r="F27"/>
      <c r="G27"/>
      <c r="H27"/>
      <c r="I27"/>
      <c r="J2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/>
      <c r="Y27"/>
      <c r="Z27"/>
      <c r="AA27"/>
      <c r="AB27"/>
    </row>
    <row r="28" spans="1:28" s="2" customFormat="1" x14ac:dyDescent="0.3">
      <c r="A28"/>
      <c r="B28"/>
      <c r="C28"/>
      <c r="D28"/>
      <c r="E28"/>
      <c r="F28"/>
      <c r="G28"/>
      <c r="H28"/>
      <c r="I28"/>
      <c r="J28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/>
      <c r="Y28"/>
      <c r="Z28"/>
      <c r="AA28"/>
      <c r="AB28"/>
    </row>
    <row r="29" spans="1:28" s="2" customFormat="1" x14ac:dyDescent="0.3">
      <c r="A29"/>
      <c r="B29"/>
      <c r="C29"/>
      <c r="D29"/>
      <c r="E29"/>
      <c r="F29"/>
      <c r="G29"/>
      <c r="H29"/>
      <c r="I29"/>
      <c r="J2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/>
      <c r="Y29"/>
      <c r="Z29"/>
      <c r="AA29"/>
      <c r="AB29"/>
    </row>
  </sheetData>
  <phoneticPr fontId="2" type="noConversion"/>
  <pageMargins left="0.7" right="0.7" top="0.75" bottom="0.75" header="0.3" footer="0.3"/>
  <pageSetup paperSize="9" scale="43" orientation="portrait" horizontalDpi="0" verticalDpi="0" r:id="rId1"/>
  <colBreaks count="1" manualBreakCount="1">
    <brk id="10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1CE2-F410-41BD-9FA8-97C78A7FAE02}">
  <dimension ref="A1:AR17"/>
  <sheetViews>
    <sheetView zoomScale="70" zoomScaleNormal="70" workbookViewId="0">
      <pane ySplit="1" topLeftCell="A2" activePane="bottomLeft" state="frozen"/>
      <selection pane="bottomLeft" activeCell="A2" sqref="A2:XFD17"/>
    </sheetView>
  </sheetViews>
  <sheetFormatPr baseColWidth="10" defaultRowHeight="14.4" x14ac:dyDescent="0.3"/>
  <cols>
    <col min="1" max="5" width="11.44140625" customWidth="1"/>
    <col min="6" max="6" width="6.6640625" bestFit="1" customWidth="1"/>
    <col min="7" max="7" width="17.88671875" bestFit="1" customWidth="1"/>
    <col min="9" max="9" width="3.33203125" bestFit="1" customWidth="1"/>
    <col min="10" max="10" width="4.44140625" bestFit="1" customWidth="1"/>
    <col min="11" max="11" width="16.5546875" bestFit="1" customWidth="1"/>
    <col min="12" max="12" width="52.6640625" customWidth="1"/>
    <col min="13" max="13" width="25" bestFit="1" customWidth="1"/>
    <col min="14" max="14" width="18.5546875" bestFit="1" customWidth="1"/>
    <col min="15" max="15" width="16.33203125" style="10" bestFit="1" customWidth="1"/>
    <col min="16" max="16" width="13.77734375" style="10" customWidth="1"/>
    <col min="17" max="17" width="14.6640625" style="10" bestFit="1" customWidth="1"/>
    <col min="18" max="18" width="13.5546875" style="10" bestFit="1" customWidth="1"/>
    <col min="19" max="19" width="14.5546875" style="10" bestFit="1" customWidth="1"/>
    <col min="20" max="20" width="14.44140625" style="10" customWidth="1"/>
    <col min="21" max="21" width="14.6640625" style="10" bestFit="1" customWidth="1"/>
    <col min="22" max="22" width="12" style="10" bestFit="1" customWidth="1"/>
    <col min="23" max="23" width="14.6640625" style="10" bestFit="1" customWidth="1"/>
    <col min="24" max="24" width="12" style="10" bestFit="1" customWidth="1"/>
    <col min="25" max="25" width="14.6640625" style="10" bestFit="1" customWidth="1"/>
    <col min="26" max="26" width="12" style="10" bestFit="1" customWidth="1"/>
    <col min="27" max="27" width="14.6640625" style="10" bestFit="1" customWidth="1"/>
    <col min="28" max="28" width="12" style="10" bestFit="1" customWidth="1"/>
    <col min="29" max="29" width="14.6640625" style="10" bestFit="1" customWidth="1"/>
    <col min="30" max="30" width="12" style="10" bestFit="1" customWidth="1"/>
    <col min="31" max="31" width="14.6640625" style="10" bestFit="1" customWidth="1"/>
    <col min="32" max="32" width="12" style="10" bestFit="1" customWidth="1"/>
    <col min="33" max="33" width="14.6640625" style="10" bestFit="1" customWidth="1"/>
    <col min="34" max="34" width="12" style="10" bestFit="1" customWidth="1"/>
    <col min="35" max="35" width="14.6640625" style="10" bestFit="1" customWidth="1"/>
    <col min="36" max="36" width="12" style="10" bestFit="1" customWidth="1"/>
    <col min="37" max="37" width="14.6640625" style="10" bestFit="1" customWidth="1"/>
    <col min="38" max="38" width="12" style="10" bestFit="1" customWidth="1"/>
    <col min="39" max="39" width="16.33203125" style="10" bestFit="1" customWidth="1"/>
  </cols>
  <sheetData>
    <row r="1" spans="1:44" ht="29.4" thickBot="1" x14ac:dyDescent="0.35">
      <c r="A1" s="14" t="s">
        <v>14</v>
      </c>
      <c r="B1" s="14" t="s">
        <v>20</v>
      </c>
      <c r="C1" s="14" t="s">
        <v>29</v>
      </c>
      <c r="D1" s="14"/>
      <c r="E1" s="14"/>
      <c r="F1" s="15" t="s">
        <v>15</v>
      </c>
      <c r="G1" s="15" t="s">
        <v>22</v>
      </c>
      <c r="H1" s="15" t="s">
        <v>23</v>
      </c>
      <c r="I1" s="14" t="s">
        <v>24</v>
      </c>
      <c r="J1" s="15" t="s">
        <v>25</v>
      </c>
      <c r="K1" s="15" t="s">
        <v>16</v>
      </c>
      <c r="L1" s="15" t="s">
        <v>17</v>
      </c>
      <c r="M1" s="15" t="s">
        <v>19</v>
      </c>
      <c r="N1" s="11" t="s">
        <v>31</v>
      </c>
      <c r="O1" s="12" t="s">
        <v>32</v>
      </c>
      <c r="P1" s="11" t="s">
        <v>33</v>
      </c>
      <c r="Q1" s="12" t="s">
        <v>34</v>
      </c>
      <c r="R1" s="11" t="s">
        <v>35</v>
      </c>
      <c r="S1" s="12" t="s">
        <v>36</v>
      </c>
      <c r="T1" s="11" t="s">
        <v>37</v>
      </c>
      <c r="U1" s="12" t="s">
        <v>38</v>
      </c>
      <c r="V1" s="11" t="s">
        <v>39</v>
      </c>
      <c r="W1" s="12" t="s">
        <v>40</v>
      </c>
      <c r="X1" s="11" t="s">
        <v>41</v>
      </c>
      <c r="Y1" s="12" t="s">
        <v>42</v>
      </c>
      <c r="Z1" s="11" t="s">
        <v>43</v>
      </c>
      <c r="AA1" s="12" t="s">
        <v>44</v>
      </c>
      <c r="AB1" s="11" t="s">
        <v>45</v>
      </c>
      <c r="AC1" s="12" t="s">
        <v>46</v>
      </c>
      <c r="AD1" s="11" t="s">
        <v>47</v>
      </c>
      <c r="AE1" s="12" t="s">
        <v>48</v>
      </c>
      <c r="AF1" s="11" t="s">
        <v>49</v>
      </c>
      <c r="AG1" s="12" t="s">
        <v>50</v>
      </c>
      <c r="AH1" s="11" t="s">
        <v>51</v>
      </c>
      <c r="AI1" s="12" t="s">
        <v>52</v>
      </c>
      <c r="AJ1" s="11" t="s">
        <v>53</v>
      </c>
      <c r="AK1" s="12" t="s">
        <v>54</v>
      </c>
      <c r="AL1" s="11" t="s">
        <v>55</v>
      </c>
      <c r="AM1" s="12" t="s">
        <v>56</v>
      </c>
    </row>
    <row r="2" spans="1:44" s="3" customFormat="1" x14ac:dyDescent="0.3">
      <c r="A2" s="4" t="s">
        <v>13</v>
      </c>
      <c r="B2" s="4" t="s">
        <v>21</v>
      </c>
      <c r="C2" s="4" t="s">
        <v>97</v>
      </c>
      <c r="D2" s="4" t="s">
        <v>30</v>
      </c>
      <c r="E2" s="4" t="s">
        <v>98</v>
      </c>
      <c r="F2" s="1">
        <v>41901</v>
      </c>
      <c r="G2" s="7">
        <v>211210080470100</v>
      </c>
      <c r="H2" t="s">
        <v>26</v>
      </c>
      <c r="I2" t="s">
        <v>27</v>
      </c>
      <c r="J2">
        <v>2</v>
      </c>
      <c r="K2" s="1" t="s">
        <v>88</v>
      </c>
      <c r="L2" s="1" t="s">
        <v>89</v>
      </c>
      <c r="M2" s="8" t="s">
        <v>28</v>
      </c>
      <c r="N2" s="8">
        <v>0</v>
      </c>
      <c r="O2" s="43">
        <f>Q2+S2+U2+W2+Y2+AA2+AC2+AE2+AG2+AI2+AK2+AM2</f>
        <v>91500000</v>
      </c>
      <c r="P2" s="8">
        <v>0</v>
      </c>
      <c r="Q2" s="43">
        <f>'Formato de Carga 4'!L2</f>
        <v>0</v>
      </c>
      <c r="R2" s="8">
        <v>0</v>
      </c>
      <c r="S2" s="43">
        <f>'Formato de Carga 4'!M2</f>
        <v>35000000</v>
      </c>
      <c r="T2" s="8">
        <v>0</v>
      </c>
      <c r="U2" s="43">
        <f>'Formato de Carga 4'!N2</f>
        <v>0</v>
      </c>
      <c r="V2" s="8">
        <v>0</v>
      </c>
      <c r="W2" s="43">
        <f>'Formato de Carga 4'!O2</f>
        <v>0</v>
      </c>
      <c r="X2" s="8">
        <v>0</v>
      </c>
      <c r="Y2" s="43">
        <f>'Formato de Carga 4'!P2</f>
        <v>18800000</v>
      </c>
      <c r="Z2" s="8">
        <v>0</v>
      </c>
      <c r="AA2" s="43">
        <f>'Formato de Carga 4'!Q2</f>
        <v>0</v>
      </c>
      <c r="AB2" s="8">
        <v>0</v>
      </c>
      <c r="AC2" s="43">
        <f>'Formato de Carga 4'!R2</f>
        <v>0</v>
      </c>
      <c r="AD2" s="8">
        <v>0</v>
      </c>
      <c r="AE2" s="43">
        <f>'Formato de Carga 4'!S2</f>
        <v>18800000</v>
      </c>
      <c r="AF2" s="8">
        <v>0</v>
      </c>
      <c r="AG2" s="43">
        <f>'Formato de Carga 4'!T2</f>
        <v>0</v>
      </c>
      <c r="AH2" s="8">
        <v>0</v>
      </c>
      <c r="AI2" s="43">
        <f>'Formato de Carga 4'!U2</f>
        <v>0</v>
      </c>
      <c r="AJ2" s="8">
        <v>0</v>
      </c>
      <c r="AK2" s="43">
        <f>'Formato de Carga 4'!V2</f>
        <v>18900000</v>
      </c>
      <c r="AL2" s="8">
        <v>0</v>
      </c>
      <c r="AM2" s="43">
        <f>'Formato de Carga 4'!W2</f>
        <v>0</v>
      </c>
      <c r="AN2"/>
      <c r="AO2"/>
      <c r="AP2"/>
      <c r="AQ2"/>
      <c r="AR2"/>
    </row>
    <row r="3" spans="1:44" s="3" customFormat="1" x14ac:dyDescent="0.3">
      <c r="A3" s="4" t="s">
        <v>12</v>
      </c>
      <c r="B3" s="4" t="s">
        <v>21</v>
      </c>
      <c r="C3" s="4" t="s">
        <v>97</v>
      </c>
      <c r="D3" s="4" t="s">
        <v>30</v>
      </c>
      <c r="E3" s="4" t="s">
        <v>98</v>
      </c>
      <c r="F3" s="1" t="s">
        <v>90</v>
      </c>
      <c r="G3" s="7">
        <v>211210080470100</v>
      </c>
      <c r="H3" t="s">
        <v>26</v>
      </c>
      <c r="I3" t="s">
        <v>27</v>
      </c>
      <c r="J3">
        <v>4</v>
      </c>
      <c r="K3" s="1" t="s">
        <v>74</v>
      </c>
      <c r="L3" s="1" t="s">
        <v>75</v>
      </c>
      <c r="M3" s="8" t="s">
        <v>28</v>
      </c>
      <c r="N3" s="8">
        <v>0</v>
      </c>
      <c r="O3" s="43">
        <f t="shared" ref="O3:O9" si="0">Q3+S3+U3+W3+Y3+AA3+AC3+AE3+AG3+AI3+AK3+AM3</f>
        <v>4011166655</v>
      </c>
      <c r="P3" s="8">
        <v>0</v>
      </c>
      <c r="Q3" s="43">
        <f>'Formato de Carga 4'!L3</f>
        <v>334263888</v>
      </c>
      <c r="R3" s="8">
        <v>0</v>
      </c>
      <c r="S3" s="43">
        <f>'Formato de Carga 4'!M3</f>
        <v>334263888</v>
      </c>
      <c r="T3" s="8">
        <v>0</v>
      </c>
      <c r="U3" s="43">
        <f>'Formato de Carga 4'!N3</f>
        <v>334263888</v>
      </c>
      <c r="V3" s="8">
        <v>0</v>
      </c>
      <c r="W3" s="43">
        <f>'Formato de Carga 4'!O3</f>
        <v>334263888</v>
      </c>
      <c r="X3" s="8">
        <v>0</v>
      </c>
      <c r="Y3" s="43">
        <f>'Formato de Carga 4'!P3</f>
        <v>334263888</v>
      </c>
      <c r="Z3" s="8">
        <v>0</v>
      </c>
      <c r="AA3" s="43">
        <f>'Formato de Carga 4'!Q3</f>
        <v>334263888</v>
      </c>
      <c r="AB3" s="8">
        <v>0</v>
      </c>
      <c r="AC3" s="43">
        <f>'Formato de Carga 4'!R3</f>
        <v>334263888</v>
      </c>
      <c r="AD3" s="8">
        <v>0</v>
      </c>
      <c r="AE3" s="43">
        <f>'Formato de Carga 4'!S3</f>
        <v>334263888</v>
      </c>
      <c r="AF3" s="8">
        <v>0</v>
      </c>
      <c r="AG3" s="43">
        <f>'Formato de Carga 4'!T3</f>
        <v>334263888</v>
      </c>
      <c r="AH3" s="8">
        <v>0</v>
      </c>
      <c r="AI3" s="43">
        <f>'Formato de Carga 4'!U3</f>
        <v>334263888</v>
      </c>
      <c r="AJ3" s="8">
        <v>0</v>
      </c>
      <c r="AK3" s="43">
        <f>'Formato de Carga 4'!V3</f>
        <v>334263888</v>
      </c>
      <c r="AL3" s="8">
        <v>0</v>
      </c>
      <c r="AM3" s="43">
        <f>'Formato de Carga 4'!W3</f>
        <v>334263887</v>
      </c>
      <c r="AN3"/>
      <c r="AO3"/>
      <c r="AP3"/>
      <c r="AQ3"/>
      <c r="AR3"/>
    </row>
    <row r="4" spans="1:44" s="3" customFormat="1" x14ac:dyDescent="0.3">
      <c r="A4" s="4" t="s">
        <v>12</v>
      </c>
      <c r="B4" s="4" t="s">
        <v>21</v>
      </c>
      <c r="C4" s="4" t="s">
        <v>97</v>
      </c>
      <c r="D4" s="4" t="s">
        <v>30</v>
      </c>
      <c r="E4" s="4" t="s">
        <v>98</v>
      </c>
      <c r="F4" s="1" t="s">
        <v>91</v>
      </c>
      <c r="G4" s="7">
        <v>211210080470100</v>
      </c>
      <c r="H4" t="s">
        <v>26</v>
      </c>
      <c r="I4" t="s">
        <v>27</v>
      </c>
      <c r="J4">
        <v>4</v>
      </c>
      <c r="K4" s="1" t="s">
        <v>76</v>
      </c>
      <c r="L4" s="1" t="s">
        <v>77</v>
      </c>
      <c r="M4" s="8" t="s">
        <v>28</v>
      </c>
      <c r="N4" s="8">
        <v>0</v>
      </c>
      <c r="O4" s="43">
        <f t="shared" si="0"/>
        <v>4000004987</v>
      </c>
      <c r="P4" s="8">
        <v>0</v>
      </c>
      <c r="Q4" s="43">
        <f>'Formato de Carga 4'!L4</f>
        <v>333333749</v>
      </c>
      <c r="R4" s="8">
        <v>0</v>
      </c>
      <c r="S4" s="43">
        <f>'Formato de Carga 4'!M4</f>
        <v>333333749</v>
      </c>
      <c r="T4" s="8">
        <v>0</v>
      </c>
      <c r="U4" s="43">
        <f>'Formato de Carga 4'!N4</f>
        <v>333333749</v>
      </c>
      <c r="V4" s="8">
        <v>0</v>
      </c>
      <c r="W4" s="43">
        <f>'Formato de Carga 4'!O4</f>
        <v>333333749</v>
      </c>
      <c r="X4" s="8">
        <v>0</v>
      </c>
      <c r="Y4" s="43">
        <f>'Formato de Carga 4'!P4</f>
        <v>333333749</v>
      </c>
      <c r="Z4" s="8">
        <v>0</v>
      </c>
      <c r="AA4" s="43">
        <f>'Formato de Carga 4'!Q4</f>
        <v>333333749</v>
      </c>
      <c r="AB4" s="8">
        <v>0</v>
      </c>
      <c r="AC4" s="43">
        <f>'Formato de Carga 4'!R4</f>
        <v>333333749</v>
      </c>
      <c r="AD4" s="8">
        <v>0</v>
      </c>
      <c r="AE4" s="43">
        <f>'Formato de Carga 4'!S4</f>
        <v>333333749</v>
      </c>
      <c r="AF4" s="8">
        <v>0</v>
      </c>
      <c r="AG4" s="43">
        <f>'Formato de Carga 4'!T4</f>
        <v>333333749</v>
      </c>
      <c r="AH4" s="8">
        <v>0</v>
      </c>
      <c r="AI4" s="43">
        <f>'Formato de Carga 4'!U4</f>
        <v>333333749</v>
      </c>
      <c r="AJ4" s="8">
        <v>0</v>
      </c>
      <c r="AK4" s="43">
        <f>'Formato de Carga 4'!V4</f>
        <v>333333749</v>
      </c>
      <c r="AL4" s="8">
        <v>0</v>
      </c>
      <c r="AM4" s="43">
        <f>'Formato de Carga 4'!W4</f>
        <v>333333748</v>
      </c>
      <c r="AN4"/>
      <c r="AO4"/>
      <c r="AP4"/>
      <c r="AQ4"/>
      <c r="AR4"/>
    </row>
    <row r="5" spans="1:44" s="3" customFormat="1" x14ac:dyDescent="0.3">
      <c r="A5" s="4" t="s">
        <v>12</v>
      </c>
      <c r="B5" s="4" t="s">
        <v>21</v>
      </c>
      <c r="C5" s="4" t="s">
        <v>97</v>
      </c>
      <c r="D5" s="4" t="s">
        <v>30</v>
      </c>
      <c r="E5" s="4" t="s">
        <v>98</v>
      </c>
      <c r="F5" s="1" t="s">
        <v>92</v>
      </c>
      <c r="G5" s="7">
        <v>211210080470100</v>
      </c>
      <c r="H5" t="s">
        <v>26</v>
      </c>
      <c r="I5" t="s">
        <v>27</v>
      </c>
      <c r="J5">
        <v>4</v>
      </c>
      <c r="K5" s="1" t="s">
        <v>78</v>
      </c>
      <c r="L5" s="1" t="s">
        <v>79</v>
      </c>
      <c r="M5" s="8" t="s">
        <v>28</v>
      </c>
      <c r="N5" s="8">
        <v>0</v>
      </c>
      <c r="O5" s="43">
        <f t="shared" si="0"/>
        <v>343849422</v>
      </c>
      <c r="P5" s="8">
        <v>0</v>
      </c>
      <c r="Q5" s="43">
        <f>'Formato de Carga 4'!L5</f>
        <v>28654119</v>
      </c>
      <c r="R5" s="8">
        <v>0</v>
      </c>
      <c r="S5" s="43">
        <f>'Formato de Carga 4'!M5</f>
        <v>28654119</v>
      </c>
      <c r="T5" s="8">
        <v>0</v>
      </c>
      <c r="U5" s="43">
        <f>'Formato de Carga 4'!N5</f>
        <v>28654119</v>
      </c>
      <c r="V5" s="8">
        <v>0</v>
      </c>
      <c r="W5" s="43">
        <f>'Formato de Carga 4'!O5</f>
        <v>28654119</v>
      </c>
      <c r="X5" s="8">
        <v>0</v>
      </c>
      <c r="Y5" s="43">
        <f>'Formato de Carga 4'!P5</f>
        <v>28654119</v>
      </c>
      <c r="Z5" s="8">
        <v>0</v>
      </c>
      <c r="AA5" s="43">
        <f>'Formato de Carga 4'!Q5</f>
        <v>28654119</v>
      </c>
      <c r="AB5" s="8">
        <v>0</v>
      </c>
      <c r="AC5" s="43">
        <f>'Formato de Carga 4'!R5</f>
        <v>28654119</v>
      </c>
      <c r="AD5" s="8">
        <v>0</v>
      </c>
      <c r="AE5" s="43">
        <f>'Formato de Carga 4'!S5</f>
        <v>28654119</v>
      </c>
      <c r="AF5" s="8">
        <v>0</v>
      </c>
      <c r="AG5" s="43">
        <f>'Formato de Carga 4'!T5</f>
        <v>28654119</v>
      </c>
      <c r="AH5" s="8">
        <v>0</v>
      </c>
      <c r="AI5" s="43">
        <f>'Formato de Carga 4'!U5</f>
        <v>28654119</v>
      </c>
      <c r="AJ5" s="8">
        <v>0</v>
      </c>
      <c r="AK5" s="43">
        <f>'Formato de Carga 4'!V5</f>
        <v>28654119</v>
      </c>
      <c r="AL5" s="8">
        <v>0</v>
      </c>
      <c r="AM5" s="43">
        <f>'Formato de Carga 4'!W5</f>
        <v>28654113</v>
      </c>
      <c r="AN5"/>
      <c r="AO5"/>
      <c r="AP5"/>
      <c r="AQ5"/>
      <c r="AR5"/>
    </row>
    <row r="6" spans="1:44" s="3" customFormat="1" x14ac:dyDescent="0.3">
      <c r="A6" s="4" t="s">
        <v>12</v>
      </c>
      <c r="B6" s="4" t="s">
        <v>21</v>
      </c>
      <c r="C6" s="4" t="s">
        <v>97</v>
      </c>
      <c r="D6" s="4" t="s">
        <v>30</v>
      </c>
      <c r="E6" s="4" t="s">
        <v>98</v>
      </c>
      <c r="F6" s="1" t="s">
        <v>93</v>
      </c>
      <c r="G6" s="7">
        <v>211210080470100</v>
      </c>
      <c r="H6" t="s">
        <v>26</v>
      </c>
      <c r="I6" t="s">
        <v>27</v>
      </c>
      <c r="J6">
        <v>4</v>
      </c>
      <c r="K6" s="1" t="s">
        <v>80</v>
      </c>
      <c r="L6" s="1" t="s">
        <v>81</v>
      </c>
      <c r="M6" s="8" t="s">
        <v>28</v>
      </c>
      <c r="N6" s="8">
        <v>0</v>
      </c>
      <c r="O6" s="43">
        <f t="shared" si="0"/>
        <v>13124620.219999999</v>
      </c>
      <c r="P6" s="8">
        <v>0</v>
      </c>
      <c r="Q6" s="43">
        <f>'Formato de Carga 4'!L6</f>
        <v>1047547.68</v>
      </c>
      <c r="R6" s="8">
        <v>0</v>
      </c>
      <c r="S6" s="43">
        <f>'Formato de Carga 4'!M6</f>
        <v>1047547.68</v>
      </c>
      <c r="T6" s="8">
        <v>0</v>
      </c>
      <c r="U6" s="43">
        <f>'Formato de Carga 4'!N6</f>
        <v>1047547.68</v>
      </c>
      <c r="V6" s="8">
        <v>0</v>
      </c>
      <c r="W6" s="43">
        <f>'Formato de Carga 4'!O6</f>
        <v>1026547.68</v>
      </c>
      <c r="X6" s="8">
        <v>0</v>
      </c>
      <c r="Y6" s="43">
        <f>'Formato de Carga 4'!P6</f>
        <v>1047547.68</v>
      </c>
      <c r="Z6" s="8">
        <v>0</v>
      </c>
      <c r="AA6" s="43">
        <f>'Formato de Carga 4'!Q6</f>
        <v>1335071.54</v>
      </c>
      <c r="AB6" s="8">
        <v>0</v>
      </c>
      <c r="AC6" s="43">
        <f>'Formato de Carga 4'!R6</f>
        <v>1335071.54</v>
      </c>
      <c r="AD6" s="8">
        <v>0</v>
      </c>
      <c r="AE6" s="43">
        <f>'Formato de Carga 4'!S6</f>
        <v>1047547.68</v>
      </c>
      <c r="AF6" s="8">
        <v>0</v>
      </c>
      <c r="AG6" s="43">
        <f>'Formato de Carga 4'!T6</f>
        <v>1047547.68</v>
      </c>
      <c r="AH6" s="8">
        <v>0</v>
      </c>
      <c r="AI6" s="43">
        <f>'Formato de Carga 4'!U6</f>
        <v>1047547.68</v>
      </c>
      <c r="AJ6" s="8">
        <v>0</v>
      </c>
      <c r="AK6" s="43">
        <f>'Formato de Carga 4'!V6</f>
        <v>1047547.68</v>
      </c>
      <c r="AL6" s="8">
        <v>0</v>
      </c>
      <c r="AM6" s="43">
        <f>'Formato de Carga 4'!W6</f>
        <v>1047548.02</v>
      </c>
      <c r="AN6"/>
      <c r="AO6"/>
      <c r="AP6"/>
      <c r="AQ6"/>
      <c r="AR6"/>
    </row>
    <row r="7" spans="1:44" s="3" customFormat="1" x14ac:dyDescent="0.3">
      <c r="A7" s="4" t="s">
        <v>12</v>
      </c>
      <c r="B7" s="4" t="s">
        <v>21</v>
      </c>
      <c r="C7" s="4" t="s">
        <v>97</v>
      </c>
      <c r="D7" s="4" t="s">
        <v>30</v>
      </c>
      <c r="E7" s="4" t="s">
        <v>98</v>
      </c>
      <c r="F7" s="1" t="s">
        <v>94</v>
      </c>
      <c r="G7" s="7">
        <v>211210080470100</v>
      </c>
      <c r="H7" t="s">
        <v>26</v>
      </c>
      <c r="I7" t="s">
        <v>27</v>
      </c>
      <c r="J7">
        <v>4</v>
      </c>
      <c r="K7" s="1" t="s">
        <v>82</v>
      </c>
      <c r="L7" s="1" t="s">
        <v>83</v>
      </c>
      <c r="M7" s="8" t="s">
        <v>28</v>
      </c>
      <c r="N7" s="8">
        <v>0</v>
      </c>
      <c r="O7" s="43">
        <f t="shared" si="0"/>
        <v>43818733.079999998</v>
      </c>
      <c r="P7" s="8">
        <v>0</v>
      </c>
      <c r="Q7" s="43">
        <f>'Formato de Carga 4'!L7</f>
        <v>3491825.62</v>
      </c>
      <c r="R7" s="8">
        <v>0</v>
      </c>
      <c r="S7" s="43">
        <f>'Formato de Carga 4'!M7</f>
        <v>3491825.62</v>
      </c>
      <c r="T7" s="8">
        <v>0</v>
      </c>
      <c r="U7" s="43">
        <f>'Formato de Carga 4'!N7</f>
        <v>3491825.62</v>
      </c>
      <c r="V7" s="8">
        <v>0</v>
      </c>
      <c r="W7" s="43">
        <f>'Formato de Carga 4'!O7</f>
        <v>3491825.62</v>
      </c>
      <c r="X7" s="8">
        <v>0</v>
      </c>
      <c r="Y7" s="43">
        <f>'Formato de Carga 4'!P7</f>
        <v>3491825.62</v>
      </c>
      <c r="Z7" s="8">
        <v>0</v>
      </c>
      <c r="AA7" s="43">
        <f>'Formato de Carga 4'!Q7</f>
        <v>4450238.4400000004</v>
      </c>
      <c r="AB7" s="8">
        <v>0</v>
      </c>
      <c r="AC7" s="43">
        <f>'Formato de Carga 4'!R7</f>
        <v>4450238.4400000004</v>
      </c>
      <c r="AD7" s="8">
        <v>0</v>
      </c>
      <c r="AE7" s="43">
        <f>'Formato de Carga 4'!S7</f>
        <v>3491825.62</v>
      </c>
      <c r="AF7" s="8">
        <v>0</v>
      </c>
      <c r="AG7" s="43">
        <f>'Formato de Carga 4'!T7</f>
        <v>3491825.62</v>
      </c>
      <c r="AH7" s="8">
        <v>0</v>
      </c>
      <c r="AI7" s="43">
        <f>'Formato de Carga 4'!U7</f>
        <v>3491825.62</v>
      </c>
      <c r="AJ7" s="8">
        <v>0</v>
      </c>
      <c r="AK7" s="43">
        <f>'Formato de Carga 4'!V7</f>
        <v>3491825.62</v>
      </c>
      <c r="AL7" s="8">
        <v>0</v>
      </c>
      <c r="AM7" s="43">
        <f>'Formato de Carga 4'!W7</f>
        <v>3491825.62</v>
      </c>
      <c r="AN7"/>
      <c r="AO7"/>
      <c r="AP7"/>
      <c r="AQ7"/>
      <c r="AR7"/>
    </row>
    <row r="8" spans="1:44" s="3" customFormat="1" x14ac:dyDescent="0.3">
      <c r="A8" s="4" t="s">
        <v>12</v>
      </c>
      <c r="B8" s="4" t="s">
        <v>21</v>
      </c>
      <c r="C8" s="4" t="s">
        <v>97</v>
      </c>
      <c r="D8" s="4" t="s">
        <v>30</v>
      </c>
      <c r="E8" s="4" t="s">
        <v>98</v>
      </c>
      <c r="F8" s="1" t="s">
        <v>95</v>
      </c>
      <c r="G8" s="7">
        <v>211210080470100</v>
      </c>
      <c r="H8" t="s">
        <v>26</v>
      </c>
      <c r="I8" t="s">
        <v>27</v>
      </c>
      <c r="J8">
        <v>4</v>
      </c>
      <c r="K8" s="1" t="s">
        <v>84</v>
      </c>
      <c r="L8" s="1" t="s">
        <v>85</v>
      </c>
      <c r="M8" s="8" t="s">
        <v>28</v>
      </c>
      <c r="N8" s="8">
        <v>0</v>
      </c>
      <c r="O8" s="43">
        <f t="shared" si="0"/>
        <v>1040692951.26</v>
      </c>
      <c r="P8" s="8">
        <v>0</v>
      </c>
      <c r="Q8" s="43">
        <f>'Formato de Carga 4'!L8</f>
        <v>2444277.94</v>
      </c>
      <c r="R8" s="8">
        <v>0</v>
      </c>
      <c r="S8" s="43">
        <f>'Formato de Carga 4'!M8</f>
        <v>2444277.94</v>
      </c>
      <c r="T8" s="8">
        <v>0</v>
      </c>
      <c r="U8" s="43">
        <f>'Formato de Carga 4'!N8</f>
        <v>2444277.94</v>
      </c>
      <c r="V8" s="8">
        <v>0</v>
      </c>
      <c r="W8" s="43">
        <f>'Formato de Carga 4'!O8</f>
        <v>2444277.94</v>
      </c>
      <c r="X8" s="8">
        <v>0</v>
      </c>
      <c r="Y8" s="43">
        <f>'Formato de Carga 4'!P8</f>
        <v>2444277.94</v>
      </c>
      <c r="Z8" s="8">
        <v>0</v>
      </c>
      <c r="AA8" s="43">
        <f>'Formato de Carga 4'!Q8</f>
        <v>3115166.9</v>
      </c>
      <c r="AB8" s="8">
        <v>0</v>
      </c>
      <c r="AC8" s="43">
        <f>'Formato de Carga 4'!R8</f>
        <v>3115166.9</v>
      </c>
      <c r="AD8" s="8">
        <v>0</v>
      </c>
      <c r="AE8" s="43">
        <f>'Formato de Carga 4'!S8</f>
        <v>2444277.94</v>
      </c>
      <c r="AF8" s="8">
        <v>0</v>
      </c>
      <c r="AG8" s="43">
        <f>'Formato de Carga 4'!T8</f>
        <v>2444277.94</v>
      </c>
      <c r="AH8" s="8">
        <v>0</v>
      </c>
      <c r="AI8" s="43">
        <f>'Formato de Carga 4'!U8</f>
        <v>2444277.94</v>
      </c>
      <c r="AJ8" s="8">
        <v>0</v>
      </c>
      <c r="AK8" s="43">
        <f>'Formato de Carga 4'!V8</f>
        <v>2444277.94</v>
      </c>
      <c r="AL8" s="8">
        <v>0</v>
      </c>
      <c r="AM8" s="43">
        <f>'Formato de Carga 4'!W8</f>
        <v>1012464116</v>
      </c>
      <c r="AN8"/>
      <c r="AO8"/>
      <c r="AP8"/>
      <c r="AQ8"/>
      <c r="AR8"/>
    </row>
    <row r="9" spans="1:44" s="3" customFormat="1" x14ac:dyDescent="0.3">
      <c r="A9" s="4" t="s">
        <v>12</v>
      </c>
      <c r="B9" s="4" t="s">
        <v>21</v>
      </c>
      <c r="C9" s="4" t="s">
        <v>97</v>
      </c>
      <c r="D9" s="4" t="s">
        <v>30</v>
      </c>
      <c r="E9" s="4" t="s">
        <v>98</v>
      </c>
      <c r="F9" s="1" t="s">
        <v>96</v>
      </c>
      <c r="G9" s="7">
        <v>211210080470100</v>
      </c>
      <c r="H9" t="s">
        <v>26</v>
      </c>
      <c r="I9" t="s">
        <v>27</v>
      </c>
      <c r="J9">
        <v>4</v>
      </c>
      <c r="K9" s="1" t="s">
        <v>86</v>
      </c>
      <c r="L9" s="1" t="s">
        <v>87</v>
      </c>
      <c r="M9" s="8" t="s">
        <v>28</v>
      </c>
      <c r="N9" s="8">
        <v>0</v>
      </c>
      <c r="O9" s="43">
        <f t="shared" si="0"/>
        <v>633570835.43999994</v>
      </c>
      <c r="P9" s="8">
        <v>0</v>
      </c>
      <c r="Q9" s="43">
        <f>'Formato de Carga 4'!L9</f>
        <v>55976485.5</v>
      </c>
      <c r="R9" s="8">
        <v>0</v>
      </c>
      <c r="S9" s="43">
        <f>'Formato de Carga 4'!M9</f>
        <v>51044508.479999997</v>
      </c>
      <c r="T9" s="8">
        <v>0</v>
      </c>
      <c r="U9" s="43">
        <f>'Formato de Carga 4'!N9</f>
        <v>45844669.109999999</v>
      </c>
      <c r="V9" s="8">
        <v>0</v>
      </c>
      <c r="W9" s="43">
        <f>'Formato de Carga 4'!O9</f>
        <v>49639220.219999999</v>
      </c>
      <c r="X9" s="8">
        <v>0</v>
      </c>
      <c r="Y9" s="43">
        <f>'Formato de Carga 4'!P9</f>
        <v>46191202.039999999</v>
      </c>
      <c r="Z9" s="8">
        <v>0</v>
      </c>
      <c r="AA9" s="43">
        <f>'Formato de Carga 4'!Q9</f>
        <v>41214172.969999999</v>
      </c>
      <c r="AB9" s="8">
        <v>0</v>
      </c>
      <c r="AC9" s="43">
        <f>'Formato de Carga 4'!R9</f>
        <v>45737216.07</v>
      </c>
      <c r="AD9" s="8">
        <v>0</v>
      </c>
      <c r="AE9" s="43">
        <f>'Formato de Carga 4'!S9</f>
        <v>34832897.240000002</v>
      </c>
      <c r="AF9" s="8">
        <v>0</v>
      </c>
      <c r="AG9" s="43">
        <f>'Formato de Carga 4'!T9</f>
        <v>38949312.840000004</v>
      </c>
      <c r="AH9" s="8">
        <v>0</v>
      </c>
      <c r="AI9" s="43">
        <f>'Formato de Carga 4'!U9</f>
        <v>56203685.439999998</v>
      </c>
      <c r="AJ9" s="8">
        <v>0</v>
      </c>
      <c r="AK9" s="43">
        <f>'Formato de Carga 4'!V9</f>
        <v>50671956.369999997</v>
      </c>
      <c r="AL9" s="8">
        <v>0</v>
      </c>
      <c r="AM9" s="43">
        <f>'Formato de Carga 4'!W9</f>
        <v>117265509.16</v>
      </c>
      <c r="AN9"/>
      <c r="AO9"/>
      <c r="AP9"/>
      <c r="AQ9"/>
      <c r="AR9"/>
    </row>
    <row r="10" spans="1:44" x14ac:dyDescent="0.3">
      <c r="A10" s="4" t="s">
        <v>13</v>
      </c>
      <c r="B10" s="4" t="s">
        <v>21</v>
      </c>
      <c r="C10" s="4" t="s">
        <v>97</v>
      </c>
      <c r="D10" s="4" t="s">
        <v>30</v>
      </c>
      <c r="E10" s="4" t="s">
        <v>98</v>
      </c>
      <c r="F10" s="1">
        <v>41901</v>
      </c>
      <c r="G10" s="7">
        <v>211210080470100</v>
      </c>
      <c r="H10" t="s">
        <v>26</v>
      </c>
      <c r="I10" t="s">
        <v>27</v>
      </c>
      <c r="J10">
        <v>2</v>
      </c>
      <c r="K10" t="s">
        <v>99</v>
      </c>
      <c r="L10" t="s">
        <v>100</v>
      </c>
      <c r="M10" s="8" t="s">
        <v>28</v>
      </c>
      <c r="N10">
        <v>91500000</v>
      </c>
      <c r="O10" s="10">
        <v>0</v>
      </c>
      <c r="P10" s="10">
        <v>0</v>
      </c>
      <c r="Q10" s="10">
        <v>0</v>
      </c>
      <c r="R10" s="10">
        <v>35000000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18800000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18800000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18900000</v>
      </c>
      <c r="AK10" s="10">
        <v>0</v>
      </c>
      <c r="AL10" s="10">
        <v>0</v>
      </c>
      <c r="AM10" s="10">
        <v>0</v>
      </c>
    </row>
    <row r="11" spans="1:44" x14ac:dyDescent="0.3">
      <c r="A11" s="4" t="s">
        <v>12</v>
      </c>
      <c r="B11" s="4" t="s">
        <v>21</v>
      </c>
      <c r="C11" s="4" t="s">
        <v>97</v>
      </c>
      <c r="D11" s="4" t="s">
        <v>30</v>
      </c>
      <c r="E11" s="4" t="s">
        <v>98</v>
      </c>
      <c r="F11" s="1" t="s">
        <v>90</v>
      </c>
      <c r="G11" s="7">
        <v>211210080470100</v>
      </c>
      <c r="H11" t="s">
        <v>26</v>
      </c>
      <c r="I11" t="s">
        <v>27</v>
      </c>
      <c r="J11">
        <v>4</v>
      </c>
      <c r="K11" t="s">
        <v>101</v>
      </c>
      <c r="L11" t="s">
        <v>102</v>
      </c>
      <c r="M11" s="8" t="s">
        <v>28</v>
      </c>
      <c r="N11">
        <v>4011166655</v>
      </c>
      <c r="O11" s="10">
        <v>0</v>
      </c>
      <c r="P11" s="10">
        <v>334263888</v>
      </c>
      <c r="Q11" s="10">
        <v>0</v>
      </c>
      <c r="R11" s="10">
        <v>334263888</v>
      </c>
      <c r="S11" s="10">
        <v>0</v>
      </c>
      <c r="T11" s="10">
        <v>334263888</v>
      </c>
      <c r="U11" s="10">
        <v>0</v>
      </c>
      <c r="V11" s="10">
        <v>334263888</v>
      </c>
      <c r="W11" s="10">
        <v>0</v>
      </c>
      <c r="X11" s="10">
        <v>334263888</v>
      </c>
      <c r="Y11" s="10">
        <v>0</v>
      </c>
      <c r="Z11" s="10">
        <v>334263888</v>
      </c>
      <c r="AA11" s="10">
        <v>0</v>
      </c>
      <c r="AB11" s="10">
        <v>334263888</v>
      </c>
      <c r="AC11" s="10">
        <v>0</v>
      </c>
      <c r="AD11" s="10">
        <v>334263888</v>
      </c>
      <c r="AE11" s="10">
        <v>0</v>
      </c>
      <c r="AF11" s="10">
        <v>334263888</v>
      </c>
      <c r="AG11" s="10">
        <v>0</v>
      </c>
      <c r="AH11" s="10">
        <v>334263888</v>
      </c>
      <c r="AI11" s="10">
        <v>0</v>
      </c>
      <c r="AJ11" s="10">
        <v>334263888</v>
      </c>
      <c r="AK11" s="10">
        <v>0</v>
      </c>
      <c r="AL11" s="10">
        <v>334263887</v>
      </c>
      <c r="AM11" s="10">
        <v>0</v>
      </c>
    </row>
    <row r="12" spans="1:44" x14ac:dyDescent="0.3">
      <c r="A12" s="4" t="s">
        <v>12</v>
      </c>
      <c r="B12" s="4" t="s">
        <v>21</v>
      </c>
      <c r="C12" s="4" t="s">
        <v>97</v>
      </c>
      <c r="D12" s="4" t="s">
        <v>30</v>
      </c>
      <c r="E12" s="4" t="s">
        <v>98</v>
      </c>
      <c r="F12" s="1" t="s">
        <v>91</v>
      </c>
      <c r="G12" s="7">
        <v>211210080470100</v>
      </c>
      <c r="H12" t="s">
        <v>26</v>
      </c>
      <c r="I12" t="s">
        <v>27</v>
      </c>
      <c r="J12">
        <v>4</v>
      </c>
      <c r="K12" t="s">
        <v>103</v>
      </c>
      <c r="L12" t="s">
        <v>104</v>
      </c>
      <c r="M12" s="8" t="s">
        <v>28</v>
      </c>
      <c r="N12">
        <v>4000004987</v>
      </c>
      <c r="O12" s="10">
        <v>0</v>
      </c>
      <c r="P12" s="10">
        <v>333333749</v>
      </c>
      <c r="Q12" s="10">
        <v>0</v>
      </c>
      <c r="R12" s="10">
        <v>333333749</v>
      </c>
      <c r="S12" s="10">
        <v>0</v>
      </c>
      <c r="T12" s="10">
        <v>333333749</v>
      </c>
      <c r="U12" s="10">
        <v>0</v>
      </c>
      <c r="V12" s="10">
        <v>333333749</v>
      </c>
      <c r="W12" s="10">
        <v>0</v>
      </c>
      <c r="X12" s="10">
        <v>333333749</v>
      </c>
      <c r="Y12" s="10">
        <v>0</v>
      </c>
      <c r="Z12" s="10">
        <v>333333749</v>
      </c>
      <c r="AA12" s="10">
        <v>0</v>
      </c>
      <c r="AB12" s="10">
        <v>333333749</v>
      </c>
      <c r="AC12" s="10">
        <v>0</v>
      </c>
      <c r="AD12" s="10">
        <v>333333749</v>
      </c>
      <c r="AE12" s="10">
        <v>0</v>
      </c>
      <c r="AF12" s="10">
        <v>333333749</v>
      </c>
      <c r="AG12" s="10">
        <v>0</v>
      </c>
      <c r="AH12" s="10">
        <v>333333749</v>
      </c>
      <c r="AI12" s="10">
        <v>0</v>
      </c>
      <c r="AJ12" s="10">
        <v>333333749</v>
      </c>
      <c r="AK12" s="10">
        <v>0</v>
      </c>
      <c r="AL12" s="10">
        <v>333333748</v>
      </c>
      <c r="AM12" s="10">
        <v>0</v>
      </c>
    </row>
    <row r="13" spans="1:44" x14ac:dyDescent="0.3">
      <c r="A13" s="4" t="s">
        <v>12</v>
      </c>
      <c r="B13" s="4" t="s">
        <v>21</v>
      </c>
      <c r="C13" s="4" t="s">
        <v>97</v>
      </c>
      <c r="D13" s="4" t="s">
        <v>30</v>
      </c>
      <c r="E13" s="4" t="s">
        <v>98</v>
      </c>
      <c r="F13" s="1" t="s">
        <v>92</v>
      </c>
      <c r="G13" s="7">
        <v>211210080470100</v>
      </c>
      <c r="H13" t="s">
        <v>26</v>
      </c>
      <c r="I13" t="s">
        <v>27</v>
      </c>
      <c r="J13">
        <v>4</v>
      </c>
      <c r="K13" t="s">
        <v>105</v>
      </c>
      <c r="L13" t="s">
        <v>106</v>
      </c>
      <c r="M13" s="8" t="s">
        <v>28</v>
      </c>
      <c r="N13">
        <v>343849422</v>
      </c>
      <c r="O13" s="10">
        <v>0</v>
      </c>
      <c r="P13" s="10">
        <v>28654119</v>
      </c>
      <c r="Q13" s="10">
        <v>0</v>
      </c>
      <c r="R13" s="10">
        <v>28654119</v>
      </c>
      <c r="S13" s="10">
        <v>0</v>
      </c>
      <c r="T13" s="10">
        <v>28654119</v>
      </c>
      <c r="U13" s="10">
        <v>0</v>
      </c>
      <c r="V13" s="10">
        <v>28654119</v>
      </c>
      <c r="W13" s="10">
        <v>0</v>
      </c>
      <c r="X13" s="10">
        <v>28654119</v>
      </c>
      <c r="Y13" s="10">
        <v>0</v>
      </c>
      <c r="Z13" s="10">
        <v>28654119</v>
      </c>
      <c r="AA13" s="10">
        <v>0</v>
      </c>
      <c r="AB13" s="10">
        <v>28654119</v>
      </c>
      <c r="AC13" s="10">
        <v>0</v>
      </c>
      <c r="AD13" s="10">
        <v>28654119</v>
      </c>
      <c r="AE13" s="10">
        <v>0</v>
      </c>
      <c r="AF13" s="10">
        <v>28654119</v>
      </c>
      <c r="AG13" s="10">
        <v>0</v>
      </c>
      <c r="AH13" s="10">
        <v>28654119</v>
      </c>
      <c r="AI13" s="10">
        <v>0</v>
      </c>
      <c r="AJ13" s="10">
        <v>28654119</v>
      </c>
      <c r="AK13" s="10">
        <v>0</v>
      </c>
      <c r="AL13" s="10">
        <v>28654113</v>
      </c>
      <c r="AM13" s="10">
        <v>0</v>
      </c>
    </row>
    <row r="14" spans="1:44" x14ac:dyDescent="0.3">
      <c r="A14" s="4" t="s">
        <v>12</v>
      </c>
      <c r="B14" s="4" t="s">
        <v>21</v>
      </c>
      <c r="C14" s="4" t="s">
        <v>97</v>
      </c>
      <c r="D14" s="4" t="s">
        <v>30</v>
      </c>
      <c r="E14" s="4" t="s">
        <v>98</v>
      </c>
      <c r="F14" s="1" t="s">
        <v>93</v>
      </c>
      <c r="G14" s="7">
        <v>211210080470100</v>
      </c>
      <c r="H14" t="s">
        <v>26</v>
      </c>
      <c r="I14" t="s">
        <v>27</v>
      </c>
      <c r="J14">
        <v>4</v>
      </c>
      <c r="K14" t="s">
        <v>107</v>
      </c>
      <c r="L14" t="s">
        <v>108</v>
      </c>
      <c r="M14" s="8" t="s">
        <v>28</v>
      </c>
      <c r="N14">
        <v>13124620.219999999</v>
      </c>
      <c r="O14" s="10">
        <v>0</v>
      </c>
      <c r="P14" s="10">
        <v>1047547.68</v>
      </c>
      <c r="Q14" s="10">
        <v>0</v>
      </c>
      <c r="R14" s="10">
        <v>1047547.68</v>
      </c>
      <c r="S14" s="10">
        <v>0</v>
      </c>
      <c r="T14" s="10">
        <v>1047547.68</v>
      </c>
      <c r="U14" s="10">
        <v>0</v>
      </c>
      <c r="V14" s="10">
        <v>1026547.68</v>
      </c>
      <c r="W14" s="10">
        <v>0</v>
      </c>
      <c r="X14" s="10">
        <v>1047547.68</v>
      </c>
      <c r="Y14" s="10">
        <v>0</v>
      </c>
      <c r="Z14" s="10">
        <v>1335071.54</v>
      </c>
      <c r="AA14" s="10">
        <v>0</v>
      </c>
      <c r="AB14" s="10">
        <v>1335071.54</v>
      </c>
      <c r="AC14" s="10">
        <v>0</v>
      </c>
      <c r="AD14" s="10">
        <v>1047547.68</v>
      </c>
      <c r="AE14" s="10">
        <v>0</v>
      </c>
      <c r="AF14" s="10">
        <v>1047547.68</v>
      </c>
      <c r="AG14" s="10">
        <v>0</v>
      </c>
      <c r="AH14" s="10">
        <v>1047547.68</v>
      </c>
      <c r="AI14" s="10">
        <v>0</v>
      </c>
      <c r="AJ14" s="10">
        <v>1047547.68</v>
      </c>
      <c r="AK14" s="10">
        <v>0</v>
      </c>
      <c r="AL14" s="10">
        <v>1047548.02</v>
      </c>
      <c r="AM14" s="10">
        <v>0</v>
      </c>
    </row>
    <row r="15" spans="1:44" x14ac:dyDescent="0.3">
      <c r="A15" s="4" t="s">
        <v>12</v>
      </c>
      <c r="B15" s="4" t="s">
        <v>21</v>
      </c>
      <c r="C15" s="4" t="s">
        <v>97</v>
      </c>
      <c r="D15" s="4" t="s">
        <v>30</v>
      </c>
      <c r="E15" s="4" t="s">
        <v>98</v>
      </c>
      <c r="F15" s="1" t="s">
        <v>94</v>
      </c>
      <c r="G15" s="7">
        <v>211210080470100</v>
      </c>
      <c r="H15" t="s">
        <v>26</v>
      </c>
      <c r="I15" t="s">
        <v>27</v>
      </c>
      <c r="J15">
        <v>4</v>
      </c>
      <c r="K15" t="s">
        <v>109</v>
      </c>
      <c r="L15" t="s">
        <v>110</v>
      </c>
      <c r="M15" s="8" t="s">
        <v>28</v>
      </c>
      <c r="N15">
        <v>43818733.079999998</v>
      </c>
      <c r="O15" s="10">
        <v>0</v>
      </c>
      <c r="P15" s="10">
        <v>3491825.62</v>
      </c>
      <c r="Q15" s="10">
        <v>0</v>
      </c>
      <c r="R15" s="10">
        <v>3491825.62</v>
      </c>
      <c r="S15" s="10">
        <v>0</v>
      </c>
      <c r="T15" s="10">
        <v>3491825.62</v>
      </c>
      <c r="U15" s="10">
        <v>0</v>
      </c>
      <c r="V15" s="10">
        <v>3491825.62</v>
      </c>
      <c r="W15" s="10">
        <v>0</v>
      </c>
      <c r="X15" s="10">
        <v>3491825.62</v>
      </c>
      <c r="Y15" s="10">
        <v>0</v>
      </c>
      <c r="Z15" s="10">
        <v>4450238.4400000004</v>
      </c>
      <c r="AA15" s="10">
        <v>0</v>
      </c>
      <c r="AB15" s="10">
        <v>4450238.4400000004</v>
      </c>
      <c r="AC15" s="10">
        <v>0</v>
      </c>
      <c r="AD15" s="10">
        <v>3491825.62</v>
      </c>
      <c r="AE15" s="10">
        <v>0</v>
      </c>
      <c r="AF15" s="10">
        <v>3491825.62</v>
      </c>
      <c r="AG15" s="10">
        <v>0</v>
      </c>
      <c r="AH15" s="10">
        <v>3491825.62</v>
      </c>
      <c r="AI15" s="10">
        <v>0</v>
      </c>
      <c r="AJ15" s="10">
        <v>3491825.62</v>
      </c>
      <c r="AK15" s="10">
        <v>0</v>
      </c>
      <c r="AL15" s="10">
        <v>3491825.62</v>
      </c>
      <c r="AM15" s="10">
        <v>0</v>
      </c>
    </row>
    <row r="16" spans="1:44" x14ac:dyDescent="0.3">
      <c r="A16" s="4" t="s">
        <v>12</v>
      </c>
      <c r="B16" s="4" t="s">
        <v>21</v>
      </c>
      <c r="C16" s="4" t="s">
        <v>97</v>
      </c>
      <c r="D16" s="4" t="s">
        <v>30</v>
      </c>
      <c r="E16" s="4" t="s">
        <v>98</v>
      </c>
      <c r="F16" s="1" t="s">
        <v>95</v>
      </c>
      <c r="G16" s="7">
        <v>211210080470100</v>
      </c>
      <c r="H16" t="s">
        <v>26</v>
      </c>
      <c r="I16" t="s">
        <v>27</v>
      </c>
      <c r="J16">
        <v>4</v>
      </c>
      <c r="K16" t="s">
        <v>111</v>
      </c>
      <c r="L16" t="s">
        <v>112</v>
      </c>
      <c r="M16" s="8" t="s">
        <v>28</v>
      </c>
      <c r="N16">
        <v>1040692951.26</v>
      </c>
      <c r="O16" s="10">
        <v>0</v>
      </c>
      <c r="P16" s="10">
        <v>2444277.94</v>
      </c>
      <c r="Q16" s="10">
        <v>0</v>
      </c>
      <c r="R16" s="10">
        <v>2444277.94</v>
      </c>
      <c r="S16" s="10">
        <v>0</v>
      </c>
      <c r="T16" s="10">
        <v>2444277.94</v>
      </c>
      <c r="U16" s="10">
        <v>0</v>
      </c>
      <c r="V16" s="10">
        <v>2444277.94</v>
      </c>
      <c r="W16" s="10">
        <v>0</v>
      </c>
      <c r="X16" s="10">
        <v>2444277.94</v>
      </c>
      <c r="Y16" s="10">
        <v>0</v>
      </c>
      <c r="Z16" s="10">
        <v>3115166.9</v>
      </c>
      <c r="AA16" s="10">
        <v>0</v>
      </c>
      <c r="AB16" s="10">
        <v>3115166.9</v>
      </c>
      <c r="AC16" s="10">
        <v>0</v>
      </c>
      <c r="AD16" s="10">
        <v>2444277.94</v>
      </c>
      <c r="AE16" s="10">
        <v>0</v>
      </c>
      <c r="AF16" s="10">
        <v>2444277.94</v>
      </c>
      <c r="AG16" s="10">
        <v>0</v>
      </c>
      <c r="AH16" s="10">
        <v>2444277.94</v>
      </c>
      <c r="AI16" s="10">
        <v>0</v>
      </c>
      <c r="AJ16" s="10">
        <v>2444277.94</v>
      </c>
      <c r="AK16" s="10">
        <v>0</v>
      </c>
      <c r="AL16" s="10">
        <v>1012464116</v>
      </c>
      <c r="AM16" s="10">
        <v>0</v>
      </c>
    </row>
    <row r="17" spans="1:39" x14ac:dyDescent="0.3">
      <c r="A17" s="4" t="s">
        <v>12</v>
      </c>
      <c r="B17" s="4" t="s">
        <v>21</v>
      </c>
      <c r="C17" s="4" t="s">
        <v>97</v>
      </c>
      <c r="D17" s="4" t="s">
        <v>30</v>
      </c>
      <c r="E17" s="4" t="s">
        <v>98</v>
      </c>
      <c r="F17" s="1" t="s">
        <v>96</v>
      </c>
      <c r="G17" s="7">
        <v>211210080470100</v>
      </c>
      <c r="H17" t="s">
        <v>26</v>
      </c>
      <c r="I17" t="s">
        <v>27</v>
      </c>
      <c r="J17">
        <v>4</v>
      </c>
      <c r="K17" t="s">
        <v>113</v>
      </c>
      <c r="L17" t="s">
        <v>114</v>
      </c>
      <c r="M17" s="8" t="s">
        <v>28</v>
      </c>
      <c r="N17">
        <v>633570835.43999994</v>
      </c>
      <c r="O17" s="10">
        <v>0</v>
      </c>
      <c r="P17" s="10">
        <v>55976485.5</v>
      </c>
      <c r="Q17" s="10">
        <v>0</v>
      </c>
      <c r="R17" s="10">
        <v>51044508.479999997</v>
      </c>
      <c r="S17" s="10">
        <v>0</v>
      </c>
      <c r="T17" s="10">
        <v>45844669.109999999</v>
      </c>
      <c r="U17" s="10">
        <v>0</v>
      </c>
      <c r="V17" s="10">
        <v>49639220.219999999</v>
      </c>
      <c r="W17" s="10">
        <v>0</v>
      </c>
      <c r="X17" s="10">
        <v>46191202.039999999</v>
      </c>
      <c r="Y17" s="10">
        <v>0</v>
      </c>
      <c r="Z17" s="10">
        <v>41214172.969999999</v>
      </c>
      <c r="AA17" s="10">
        <v>0</v>
      </c>
      <c r="AB17" s="10">
        <v>45737216.07</v>
      </c>
      <c r="AC17" s="10">
        <v>0</v>
      </c>
      <c r="AD17" s="10">
        <v>34832897.240000002</v>
      </c>
      <c r="AE17" s="10">
        <v>0</v>
      </c>
      <c r="AF17" s="10">
        <v>38949312.840000004</v>
      </c>
      <c r="AG17" s="10">
        <v>0</v>
      </c>
      <c r="AH17" s="10">
        <v>56203685.439999998</v>
      </c>
      <c r="AI17" s="10">
        <v>0</v>
      </c>
      <c r="AJ17" s="10">
        <v>50671956.369999997</v>
      </c>
      <c r="AK17" s="10">
        <v>0</v>
      </c>
      <c r="AL17" s="10">
        <v>117265509.16</v>
      </c>
      <c r="AM17" s="10">
        <v>0</v>
      </c>
    </row>
  </sheetData>
  <phoneticPr fontId="2" type="noConversion"/>
  <pageMargins left="0.7" right="0.7" top="0.75" bottom="0.75" header="0.3" footer="0.3"/>
  <pageSetup paperSize="9" scale="43" orientation="portrait" horizontalDpi="0" verticalDpi="0" r:id="rId1"/>
  <colBreaks count="1" manualBreakCount="1">
    <brk id="14" max="3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FBB9-E46D-481D-BDA5-ADEF97E12F86}">
  <dimension ref="A1:AR17"/>
  <sheetViews>
    <sheetView zoomScale="70" zoomScaleNormal="70" workbookViewId="0">
      <selection activeCell="L2" sqref="L2:L9"/>
    </sheetView>
  </sheetViews>
  <sheetFormatPr baseColWidth="10" defaultRowHeight="14.4" x14ac:dyDescent="0.3"/>
  <cols>
    <col min="1" max="5" width="11.44140625" customWidth="1"/>
    <col min="7" max="7" width="17.88671875" bestFit="1" customWidth="1"/>
    <col min="8" max="8" width="5.33203125" bestFit="1" customWidth="1"/>
    <col min="9" max="9" width="3.33203125" bestFit="1" customWidth="1"/>
    <col min="10" max="10" width="4.44140625" bestFit="1" customWidth="1"/>
    <col min="11" max="11" width="16.5546875" bestFit="1" customWidth="1"/>
    <col min="12" max="12" width="52.6640625" customWidth="1"/>
    <col min="13" max="13" width="25" bestFit="1" customWidth="1"/>
    <col min="14" max="14" width="18.5546875" bestFit="1" customWidth="1"/>
    <col min="15" max="15" width="14.88671875" style="10" bestFit="1" customWidth="1"/>
    <col min="16" max="16" width="13.77734375" style="10" customWidth="1"/>
    <col min="17" max="17" width="11.6640625" style="10" bestFit="1" customWidth="1"/>
    <col min="18" max="18" width="13.5546875" style="10" bestFit="1" customWidth="1"/>
    <col min="19" max="19" width="14.5546875" style="10" bestFit="1" customWidth="1"/>
    <col min="20" max="20" width="14.44140625" style="10" customWidth="1"/>
    <col min="21" max="21" width="11.6640625" style="10" bestFit="1" customWidth="1"/>
    <col min="22" max="22" width="12" style="10" bestFit="1" customWidth="1"/>
    <col min="23" max="23" width="11.6640625" style="10" bestFit="1" customWidth="1"/>
    <col min="24" max="24" width="12" style="10" bestFit="1" customWidth="1"/>
    <col min="25" max="25" width="11.6640625" style="10" bestFit="1" customWidth="1"/>
    <col min="26" max="26" width="12" style="10" bestFit="1" customWidth="1"/>
    <col min="27" max="27" width="11.6640625" style="10" bestFit="1" customWidth="1"/>
    <col min="28" max="28" width="12" style="10" bestFit="1" customWidth="1"/>
    <col min="29" max="29" width="11.6640625" style="10" bestFit="1" customWidth="1"/>
    <col min="30" max="30" width="12" style="10" bestFit="1" customWidth="1"/>
    <col min="31" max="31" width="11.6640625" style="10" bestFit="1" customWidth="1"/>
    <col min="32" max="32" width="12" style="10" bestFit="1" customWidth="1"/>
    <col min="33" max="33" width="11.6640625" style="10" bestFit="1" customWidth="1"/>
    <col min="34" max="34" width="12" style="10" bestFit="1" customWidth="1"/>
    <col min="35" max="35" width="11.6640625" style="10" bestFit="1" customWidth="1"/>
    <col min="36" max="36" width="12" style="10" bestFit="1" customWidth="1"/>
    <col min="37" max="37" width="11.6640625" style="10" bestFit="1" customWidth="1"/>
    <col min="38" max="38" width="12" style="10" bestFit="1" customWidth="1"/>
    <col min="39" max="39" width="11.6640625" style="10" bestFit="1" customWidth="1"/>
  </cols>
  <sheetData>
    <row r="1" spans="1:44" ht="29.4" thickBot="1" x14ac:dyDescent="0.35">
      <c r="A1" s="14" t="s">
        <v>14</v>
      </c>
      <c r="B1" s="14" t="s">
        <v>20</v>
      </c>
      <c r="C1" s="14" t="s">
        <v>29</v>
      </c>
      <c r="D1" s="14" t="s">
        <v>61</v>
      </c>
      <c r="E1" s="14" t="s">
        <v>62</v>
      </c>
      <c r="F1" s="15" t="s">
        <v>15</v>
      </c>
      <c r="G1" s="15" t="s">
        <v>22</v>
      </c>
      <c r="H1" s="15" t="s">
        <v>23</v>
      </c>
      <c r="I1" s="14" t="s">
        <v>24</v>
      </c>
      <c r="J1" s="15" t="s">
        <v>25</v>
      </c>
      <c r="K1" s="15" t="s">
        <v>16</v>
      </c>
      <c r="L1" s="15" t="s">
        <v>17</v>
      </c>
      <c r="M1" s="15" t="s">
        <v>19</v>
      </c>
      <c r="N1" s="11" t="s">
        <v>31</v>
      </c>
      <c r="O1" s="12" t="s">
        <v>32</v>
      </c>
      <c r="P1" s="11" t="s">
        <v>33</v>
      </c>
      <c r="Q1" s="12" t="s">
        <v>34</v>
      </c>
      <c r="R1" s="11" t="s">
        <v>35</v>
      </c>
      <c r="S1" s="12" t="s">
        <v>36</v>
      </c>
      <c r="T1" s="11" t="s">
        <v>37</v>
      </c>
      <c r="U1" s="12" t="s">
        <v>38</v>
      </c>
      <c r="V1" s="11" t="s">
        <v>39</v>
      </c>
      <c r="W1" s="12" t="s">
        <v>40</v>
      </c>
      <c r="X1" s="11" t="s">
        <v>41</v>
      </c>
      <c r="Y1" s="12" t="s">
        <v>42</v>
      </c>
      <c r="Z1" s="11" t="s">
        <v>43</v>
      </c>
      <c r="AA1" s="12" t="s">
        <v>44</v>
      </c>
      <c r="AB1" s="11" t="s">
        <v>45</v>
      </c>
      <c r="AC1" s="12" t="s">
        <v>46</v>
      </c>
      <c r="AD1" s="11" t="s">
        <v>47</v>
      </c>
      <c r="AE1" s="12" t="s">
        <v>48</v>
      </c>
      <c r="AF1" s="11" t="s">
        <v>49</v>
      </c>
      <c r="AG1" s="12" t="s">
        <v>50</v>
      </c>
      <c r="AH1" s="11" t="s">
        <v>51</v>
      </c>
      <c r="AI1" s="12" t="s">
        <v>52</v>
      </c>
      <c r="AJ1" s="11" t="s">
        <v>53</v>
      </c>
      <c r="AK1" s="12" t="s">
        <v>54</v>
      </c>
      <c r="AL1" s="11" t="s">
        <v>55</v>
      </c>
      <c r="AM1" s="12" t="s">
        <v>56</v>
      </c>
    </row>
    <row r="2" spans="1:44" s="3" customFormat="1" x14ac:dyDescent="0.3">
      <c r="A2" s="4" t="s">
        <v>13</v>
      </c>
      <c r="B2" s="4" t="s">
        <v>21</v>
      </c>
      <c r="C2" s="4" t="s">
        <v>97</v>
      </c>
      <c r="D2" s="4" t="s">
        <v>30</v>
      </c>
      <c r="E2" s="4" t="s">
        <v>98</v>
      </c>
      <c r="F2" s="44">
        <v>41901</v>
      </c>
      <c r="G2" s="7">
        <v>211210080470100</v>
      </c>
      <c r="H2" t="s">
        <v>26</v>
      </c>
      <c r="I2" t="s">
        <v>27</v>
      </c>
      <c r="J2">
        <v>2</v>
      </c>
      <c r="K2" s="1" t="s">
        <v>88</v>
      </c>
      <c r="L2" s="1" t="s">
        <v>89</v>
      </c>
      <c r="M2" s="8" t="s">
        <v>28</v>
      </c>
      <c r="N2" s="13">
        <v>0</v>
      </c>
      <c r="O2" s="13">
        <v>91500000</v>
      </c>
      <c r="P2" s="13">
        <v>0</v>
      </c>
      <c r="Q2" s="13">
        <v>0</v>
      </c>
      <c r="R2" s="13">
        <v>0</v>
      </c>
      <c r="S2" s="13">
        <v>35000000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18800000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18800000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18900000</v>
      </c>
      <c r="AL2" s="13">
        <v>0</v>
      </c>
      <c r="AM2" s="13">
        <v>0</v>
      </c>
      <c r="AN2"/>
      <c r="AO2"/>
      <c r="AP2"/>
      <c r="AQ2"/>
      <c r="AR2"/>
    </row>
    <row r="3" spans="1:44" s="3" customFormat="1" x14ac:dyDescent="0.3">
      <c r="A3" s="4" t="s">
        <v>12</v>
      </c>
      <c r="B3" s="4" t="s">
        <v>21</v>
      </c>
      <c r="C3" s="4" t="s">
        <v>97</v>
      </c>
      <c r="D3" s="4" t="s">
        <v>30</v>
      </c>
      <c r="E3" s="4" t="s">
        <v>98</v>
      </c>
      <c r="F3" s="44" t="s">
        <v>90</v>
      </c>
      <c r="G3" s="7">
        <v>211210080470100</v>
      </c>
      <c r="H3" t="s">
        <v>26</v>
      </c>
      <c r="I3" t="s">
        <v>27</v>
      </c>
      <c r="J3">
        <v>4</v>
      </c>
      <c r="K3" s="1" t="s">
        <v>74</v>
      </c>
      <c r="L3" s="1" t="s">
        <v>75</v>
      </c>
      <c r="M3" s="8" t="s">
        <v>28</v>
      </c>
      <c r="N3" s="13">
        <v>0</v>
      </c>
      <c r="O3" s="13">
        <v>4011166655</v>
      </c>
      <c r="P3" s="13">
        <v>0</v>
      </c>
      <c r="Q3" s="13">
        <v>334263888</v>
      </c>
      <c r="R3" s="13">
        <v>0</v>
      </c>
      <c r="S3" s="13">
        <v>334263888</v>
      </c>
      <c r="T3" s="13">
        <v>0</v>
      </c>
      <c r="U3" s="13">
        <v>334263888</v>
      </c>
      <c r="V3" s="13">
        <v>0</v>
      </c>
      <c r="W3" s="13">
        <v>334263888</v>
      </c>
      <c r="X3" s="13">
        <v>0</v>
      </c>
      <c r="Y3" s="13">
        <v>334263888</v>
      </c>
      <c r="Z3" s="13">
        <v>0</v>
      </c>
      <c r="AA3" s="13">
        <v>334263888</v>
      </c>
      <c r="AB3" s="13">
        <v>0</v>
      </c>
      <c r="AC3" s="13">
        <v>334263888</v>
      </c>
      <c r="AD3" s="13">
        <v>0</v>
      </c>
      <c r="AE3" s="13">
        <v>334263888</v>
      </c>
      <c r="AF3" s="13">
        <v>0</v>
      </c>
      <c r="AG3" s="13">
        <v>334263888</v>
      </c>
      <c r="AH3" s="13">
        <v>0</v>
      </c>
      <c r="AI3" s="13">
        <v>334263888</v>
      </c>
      <c r="AJ3" s="13">
        <v>0</v>
      </c>
      <c r="AK3" s="13">
        <v>334263888</v>
      </c>
      <c r="AL3" s="13">
        <v>0</v>
      </c>
      <c r="AM3" s="13">
        <v>334263887</v>
      </c>
      <c r="AN3"/>
      <c r="AO3"/>
      <c r="AP3"/>
      <c r="AQ3"/>
      <c r="AR3"/>
    </row>
    <row r="4" spans="1:44" s="3" customFormat="1" x14ac:dyDescent="0.3">
      <c r="A4" s="4" t="s">
        <v>12</v>
      </c>
      <c r="B4" s="4" t="s">
        <v>21</v>
      </c>
      <c r="C4" s="4" t="s">
        <v>97</v>
      </c>
      <c r="D4" s="4" t="s">
        <v>30</v>
      </c>
      <c r="E4" s="4" t="s">
        <v>98</v>
      </c>
      <c r="F4" s="44" t="s">
        <v>91</v>
      </c>
      <c r="G4" s="7">
        <v>211210080470100</v>
      </c>
      <c r="H4" t="s">
        <v>26</v>
      </c>
      <c r="I4" t="s">
        <v>27</v>
      </c>
      <c r="J4">
        <v>4</v>
      </c>
      <c r="K4" s="1" t="s">
        <v>76</v>
      </c>
      <c r="L4" s="1" t="s">
        <v>77</v>
      </c>
      <c r="M4" s="8" t="s">
        <v>28</v>
      </c>
      <c r="N4" s="13">
        <v>0</v>
      </c>
      <c r="O4" s="13">
        <v>4000004987</v>
      </c>
      <c r="P4" s="13">
        <v>0</v>
      </c>
      <c r="Q4" s="13">
        <v>333333749</v>
      </c>
      <c r="R4" s="13">
        <v>0</v>
      </c>
      <c r="S4" s="13">
        <v>333333749</v>
      </c>
      <c r="T4" s="13">
        <v>0</v>
      </c>
      <c r="U4" s="13">
        <v>333333749</v>
      </c>
      <c r="V4" s="13">
        <v>0</v>
      </c>
      <c r="W4" s="13">
        <v>333333749</v>
      </c>
      <c r="X4" s="13">
        <v>0</v>
      </c>
      <c r="Y4" s="13">
        <v>333333749</v>
      </c>
      <c r="Z4" s="13">
        <v>0</v>
      </c>
      <c r="AA4" s="13">
        <v>333333749</v>
      </c>
      <c r="AB4" s="13">
        <v>0</v>
      </c>
      <c r="AC4" s="13">
        <v>333333749</v>
      </c>
      <c r="AD4" s="13">
        <v>0</v>
      </c>
      <c r="AE4" s="13">
        <v>333333749</v>
      </c>
      <c r="AF4" s="13">
        <v>0</v>
      </c>
      <c r="AG4" s="13">
        <v>333333749</v>
      </c>
      <c r="AH4" s="13">
        <v>0</v>
      </c>
      <c r="AI4" s="13">
        <v>333333749</v>
      </c>
      <c r="AJ4" s="13">
        <v>0</v>
      </c>
      <c r="AK4" s="13">
        <v>333333749</v>
      </c>
      <c r="AL4" s="13">
        <v>0</v>
      </c>
      <c r="AM4" s="13">
        <v>333333748</v>
      </c>
      <c r="AN4"/>
      <c r="AO4"/>
      <c r="AP4"/>
      <c r="AQ4"/>
      <c r="AR4"/>
    </row>
    <row r="5" spans="1:44" s="3" customFormat="1" x14ac:dyDescent="0.3">
      <c r="A5" s="4" t="s">
        <v>12</v>
      </c>
      <c r="B5" s="4" t="s">
        <v>21</v>
      </c>
      <c r="C5" s="4" t="s">
        <v>97</v>
      </c>
      <c r="D5" s="4" t="s">
        <v>30</v>
      </c>
      <c r="E5" s="4" t="s">
        <v>98</v>
      </c>
      <c r="F5" s="44" t="s">
        <v>92</v>
      </c>
      <c r="G5" s="7">
        <v>211210080470100</v>
      </c>
      <c r="H5" t="s">
        <v>26</v>
      </c>
      <c r="I5" t="s">
        <v>27</v>
      </c>
      <c r="J5">
        <v>4</v>
      </c>
      <c r="K5" s="1" t="s">
        <v>78</v>
      </c>
      <c r="L5" s="1" t="s">
        <v>79</v>
      </c>
      <c r="M5" s="8" t="s">
        <v>28</v>
      </c>
      <c r="N5" s="13">
        <v>0</v>
      </c>
      <c r="O5" s="13">
        <v>343849422</v>
      </c>
      <c r="P5" s="13">
        <v>0</v>
      </c>
      <c r="Q5" s="13">
        <v>28654119</v>
      </c>
      <c r="R5" s="13">
        <v>0</v>
      </c>
      <c r="S5" s="13">
        <v>28654119</v>
      </c>
      <c r="T5" s="13">
        <v>0</v>
      </c>
      <c r="U5" s="13">
        <v>28654119</v>
      </c>
      <c r="V5" s="13">
        <v>0</v>
      </c>
      <c r="W5" s="13">
        <v>28654119</v>
      </c>
      <c r="X5" s="13">
        <v>0</v>
      </c>
      <c r="Y5" s="13">
        <v>28654119</v>
      </c>
      <c r="Z5" s="13">
        <v>0</v>
      </c>
      <c r="AA5" s="13">
        <v>28654119</v>
      </c>
      <c r="AB5" s="13">
        <v>0</v>
      </c>
      <c r="AC5" s="13">
        <v>28654119</v>
      </c>
      <c r="AD5" s="13">
        <v>0</v>
      </c>
      <c r="AE5" s="13">
        <v>28654119</v>
      </c>
      <c r="AF5" s="13">
        <v>0</v>
      </c>
      <c r="AG5" s="13">
        <v>28654119</v>
      </c>
      <c r="AH5" s="13">
        <v>0</v>
      </c>
      <c r="AI5" s="13">
        <v>28654119</v>
      </c>
      <c r="AJ5" s="13">
        <v>0</v>
      </c>
      <c r="AK5" s="13">
        <v>28654119</v>
      </c>
      <c r="AL5" s="13">
        <v>0</v>
      </c>
      <c r="AM5" s="13">
        <v>28654113</v>
      </c>
      <c r="AN5"/>
      <c r="AO5"/>
      <c r="AP5"/>
      <c r="AQ5"/>
      <c r="AR5"/>
    </row>
    <row r="6" spans="1:44" s="3" customFormat="1" x14ac:dyDescent="0.3">
      <c r="A6" s="4" t="s">
        <v>12</v>
      </c>
      <c r="B6" s="4" t="s">
        <v>21</v>
      </c>
      <c r="C6" s="4" t="s">
        <v>97</v>
      </c>
      <c r="D6" s="4" t="s">
        <v>30</v>
      </c>
      <c r="E6" s="4" t="s">
        <v>98</v>
      </c>
      <c r="F6" s="44" t="s">
        <v>93</v>
      </c>
      <c r="G6" s="7">
        <v>211210080470100</v>
      </c>
      <c r="H6" t="s">
        <v>26</v>
      </c>
      <c r="I6" t="s">
        <v>27</v>
      </c>
      <c r="J6">
        <v>4</v>
      </c>
      <c r="K6" s="1" t="s">
        <v>80</v>
      </c>
      <c r="L6" s="1" t="s">
        <v>81</v>
      </c>
      <c r="M6" s="8" t="s">
        <v>28</v>
      </c>
      <c r="N6" s="13">
        <v>0</v>
      </c>
      <c r="O6" s="13">
        <v>13124620.219999999</v>
      </c>
      <c r="P6" s="13">
        <v>0</v>
      </c>
      <c r="Q6" s="13">
        <v>1047547.68</v>
      </c>
      <c r="R6" s="13">
        <v>0</v>
      </c>
      <c r="S6" s="13">
        <v>1047547.68</v>
      </c>
      <c r="T6" s="13">
        <v>0</v>
      </c>
      <c r="U6" s="13">
        <v>1047547.68</v>
      </c>
      <c r="V6" s="13">
        <v>0</v>
      </c>
      <c r="W6" s="13">
        <v>1026547.68</v>
      </c>
      <c r="X6" s="13">
        <v>0</v>
      </c>
      <c r="Y6" s="13">
        <v>1047547.68</v>
      </c>
      <c r="Z6" s="13">
        <v>0</v>
      </c>
      <c r="AA6" s="13">
        <v>1335071.54</v>
      </c>
      <c r="AB6" s="13">
        <v>0</v>
      </c>
      <c r="AC6" s="13">
        <v>1335071.54</v>
      </c>
      <c r="AD6" s="13">
        <v>0</v>
      </c>
      <c r="AE6" s="13">
        <v>1047547.68</v>
      </c>
      <c r="AF6" s="13">
        <v>0</v>
      </c>
      <c r="AG6" s="13">
        <v>1047547.68</v>
      </c>
      <c r="AH6" s="13">
        <v>0</v>
      </c>
      <c r="AI6" s="13">
        <v>1047547.68</v>
      </c>
      <c r="AJ6" s="13">
        <v>0</v>
      </c>
      <c r="AK6" s="13">
        <v>1047547.68</v>
      </c>
      <c r="AL6" s="13">
        <v>0</v>
      </c>
      <c r="AM6" s="13">
        <v>1047548.02</v>
      </c>
      <c r="AN6"/>
      <c r="AO6"/>
      <c r="AP6"/>
      <c r="AQ6"/>
      <c r="AR6"/>
    </row>
    <row r="7" spans="1:44" s="3" customFormat="1" x14ac:dyDescent="0.3">
      <c r="A7" s="4" t="s">
        <v>12</v>
      </c>
      <c r="B7" s="4" t="s">
        <v>21</v>
      </c>
      <c r="C7" s="4" t="s">
        <v>97</v>
      </c>
      <c r="D7" s="4" t="s">
        <v>30</v>
      </c>
      <c r="E7" s="4" t="s">
        <v>98</v>
      </c>
      <c r="F7" s="44" t="s">
        <v>94</v>
      </c>
      <c r="G7" s="7">
        <v>211210080470100</v>
      </c>
      <c r="H7" t="s">
        <v>26</v>
      </c>
      <c r="I7" t="s">
        <v>27</v>
      </c>
      <c r="J7">
        <v>4</v>
      </c>
      <c r="K7" s="1" t="s">
        <v>82</v>
      </c>
      <c r="L7" s="1" t="s">
        <v>83</v>
      </c>
      <c r="M7" s="8" t="s">
        <v>28</v>
      </c>
      <c r="N7" s="13">
        <v>0</v>
      </c>
      <c r="O7" s="13">
        <v>43818733.079999998</v>
      </c>
      <c r="P7" s="13">
        <v>0</v>
      </c>
      <c r="Q7" s="13">
        <v>3491825.62</v>
      </c>
      <c r="R7" s="13">
        <v>0</v>
      </c>
      <c r="S7" s="13">
        <v>3491825.62</v>
      </c>
      <c r="T7" s="13">
        <v>0</v>
      </c>
      <c r="U7" s="13">
        <v>3491825.62</v>
      </c>
      <c r="V7" s="13">
        <v>0</v>
      </c>
      <c r="W7" s="13">
        <v>3491825.62</v>
      </c>
      <c r="X7" s="13">
        <v>0</v>
      </c>
      <c r="Y7" s="13">
        <v>3491825.62</v>
      </c>
      <c r="Z7" s="13">
        <v>0</v>
      </c>
      <c r="AA7" s="13">
        <v>4450238.4400000004</v>
      </c>
      <c r="AB7" s="13">
        <v>0</v>
      </c>
      <c r="AC7" s="13">
        <v>4450238.4400000004</v>
      </c>
      <c r="AD7" s="13">
        <v>0</v>
      </c>
      <c r="AE7" s="13">
        <v>3491825.62</v>
      </c>
      <c r="AF7" s="13">
        <v>0</v>
      </c>
      <c r="AG7" s="13">
        <v>3491825.62</v>
      </c>
      <c r="AH7" s="13">
        <v>0</v>
      </c>
      <c r="AI7" s="13">
        <v>3491825.62</v>
      </c>
      <c r="AJ7" s="13">
        <v>0</v>
      </c>
      <c r="AK7" s="13">
        <v>3491825.62</v>
      </c>
      <c r="AL7" s="13">
        <v>0</v>
      </c>
      <c r="AM7" s="13">
        <v>3491825.62</v>
      </c>
      <c r="AN7"/>
      <c r="AO7"/>
      <c r="AP7"/>
      <c r="AQ7"/>
      <c r="AR7"/>
    </row>
    <row r="8" spans="1:44" s="3" customFormat="1" x14ac:dyDescent="0.3">
      <c r="A8" s="4" t="s">
        <v>12</v>
      </c>
      <c r="B8" s="4" t="s">
        <v>21</v>
      </c>
      <c r="C8" s="4" t="s">
        <v>97</v>
      </c>
      <c r="D8" s="4" t="s">
        <v>30</v>
      </c>
      <c r="E8" s="4" t="s">
        <v>98</v>
      </c>
      <c r="F8" s="44" t="s">
        <v>95</v>
      </c>
      <c r="G8" s="7">
        <v>211210080470100</v>
      </c>
      <c r="H8" t="s">
        <v>26</v>
      </c>
      <c r="I8" t="s">
        <v>27</v>
      </c>
      <c r="J8">
        <v>4</v>
      </c>
      <c r="K8" s="1" t="s">
        <v>84</v>
      </c>
      <c r="L8" s="1" t="s">
        <v>85</v>
      </c>
      <c r="M8" s="8" t="s">
        <v>28</v>
      </c>
      <c r="N8" s="13">
        <v>0</v>
      </c>
      <c r="O8" s="13">
        <v>1040692951.26</v>
      </c>
      <c r="P8" s="13">
        <v>0</v>
      </c>
      <c r="Q8" s="13">
        <v>2444277.94</v>
      </c>
      <c r="R8" s="13">
        <v>0</v>
      </c>
      <c r="S8" s="13">
        <v>2444277.94</v>
      </c>
      <c r="T8" s="13">
        <v>0</v>
      </c>
      <c r="U8" s="13">
        <v>2444277.94</v>
      </c>
      <c r="V8" s="13">
        <v>0</v>
      </c>
      <c r="W8" s="13">
        <v>2444277.94</v>
      </c>
      <c r="X8" s="13">
        <v>0</v>
      </c>
      <c r="Y8" s="13">
        <v>2444277.94</v>
      </c>
      <c r="Z8" s="13">
        <v>0</v>
      </c>
      <c r="AA8" s="13">
        <v>3115166.9</v>
      </c>
      <c r="AB8" s="13">
        <v>0</v>
      </c>
      <c r="AC8" s="13">
        <v>3115166.9</v>
      </c>
      <c r="AD8" s="13">
        <v>0</v>
      </c>
      <c r="AE8" s="13">
        <v>2444277.94</v>
      </c>
      <c r="AF8" s="13">
        <v>0</v>
      </c>
      <c r="AG8" s="13">
        <v>2444277.94</v>
      </c>
      <c r="AH8" s="13">
        <v>0</v>
      </c>
      <c r="AI8" s="13">
        <v>2444277.94</v>
      </c>
      <c r="AJ8" s="13">
        <v>0</v>
      </c>
      <c r="AK8" s="13">
        <v>2444277.94</v>
      </c>
      <c r="AL8" s="13">
        <v>0</v>
      </c>
      <c r="AM8" s="13">
        <v>1012464116</v>
      </c>
      <c r="AN8"/>
      <c r="AO8"/>
      <c r="AP8"/>
      <c r="AQ8"/>
      <c r="AR8"/>
    </row>
    <row r="9" spans="1:44" s="3" customFormat="1" x14ac:dyDescent="0.3">
      <c r="A9" s="4" t="s">
        <v>12</v>
      </c>
      <c r="B9" s="4" t="s">
        <v>21</v>
      </c>
      <c r="C9" s="4" t="s">
        <v>97</v>
      </c>
      <c r="D9" s="4" t="s">
        <v>30</v>
      </c>
      <c r="E9" s="4" t="s">
        <v>98</v>
      </c>
      <c r="F9" s="44" t="s">
        <v>96</v>
      </c>
      <c r="G9" s="7">
        <v>211210080470100</v>
      </c>
      <c r="H9" t="s">
        <v>26</v>
      </c>
      <c r="I9" t="s">
        <v>27</v>
      </c>
      <c r="J9">
        <v>4</v>
      </c>
      <c r="K9" s="1" t="s">
        <v>86</v>
      </c>
      <c r="L9" s="1" t="s">
        <v>87</v>
      </c>
      <c r="M9" s="8" t="s">
        <v>28</v>
      </c>
      <c r="N9" s="13">
        <v>0</v>
      </c>
      <c r="O9" s="13">
        <v>633570835.43999994</v>
      </c>
      <c r="P9" s="13">
        <v>0</v>
      </c>
      <c r="Q9" s="13">
        <v>55976485.5</v>
      </c>
      <c r="R9" s="13">
        <v>0</v>
      </c>
      <c r="S9" s="13">
        <v>51044508.479999997</v>
      </c>
      <c r="T9" s="13">
        <v>0</v>
      </c>
      <c r="U9" s="13">
        <v>45844669.109999999</v>
      </c>
      <c r="V9" s="13">
        <v>0</v>
      </c>
      <c r="W9" s="13">
        <v>49639220.219999999</v>
      </c>
      <c r="X9" s="13">
        <v>0</v>
      </c>
      <c r="Y9" s="13">
        <v>46191202.039999999</v>
      </c>
      <c r="Z9" s="13">
        <v>0</v>
      </c>
      <c r="AA9" s="13">
        <v>41214172.969999999</v>
      </c>
      <c r="AB9" s="13">
        <v>0</v>
      </c>
      <c r="AC9" s="13">
        <v>45737216.07</v>
      </c>
      <c r="AD9" s="13">
        <v>0</v>
      </c>
      <c r="AE9" s="13">
        <v>34832897.240000002</v>
      </c>
      <c r="AF9" s="13">
        <v>0</v>
      </c>
      <c r="AG9" s="13">
        <v>38949312.840000004</v>
      </c>
      <c r="AH9" s="13">
        <v>0</v>
      </c>
      <c r="AI9" s="13">
        <v>56203685.439999998</v>
      </c>
      <c r="AJ9" s="13">
        <v>0</v>
      </c>
      <c r="AK9" s="13">
        <v>50671956.369999997</v>
      </c>
      <c r="AL9" s="13">
        <v>0</v>
      </c>
      <c r="AM9" s="13">
        <v>117265509.16</v>
      </c>
      <c r="AN9"/>
      <c r="AO9"/>
      <c r="AP9"/>
      <c r="AQ9"/>
      <c r="AR9"/>
    </row>
    <row r="10" spans="1:44" s="3" customFormat="1" x14ac:dyDescent="0.3">
      <c r="A10" s="4" t="s">
        <v>13</v>
      </c>
      <c r="B10" s="4" t="s">
        <v>21</v>
      </c>
      <c r="C10" s="4" t="s">
        <v>97</v>
      </c>
      <c r="D10" s="4" t="s">
        <v>30</v>
      </c>
      <c r="E10" s="4" t="s">
        <v>98</v>
      </c>
      <c r="F10" s="44">
        <v>41901</v>
      </c>
      <c r="G10" s="7">
        <v>211210080470100</v>
      </c>
      <c r="H10" t="s">
        <v>26</v>
      </c>
      <c r="I10" t="s">
        <v>27</v>
      </c>
      <c r="J10">
        <v>2</v>
      </c>
      <c r="K10" s="1" t="s">
        <v>99</v>
      </c>
      <c r="L10" s="1" t="s">
        <v>100</v>
      </c>
      <c r="M10" s="8" t="s">
        <v>28</v>
      </c>
      <c r="N10" s="13">
        <v>91500000</v>
      </c>
      <c r="O10" s="13">
        <v>0</v>
      </c>
      <c r="P10" s="13">
        <v>0</v>
      </c>
      <c r="Q10" s="13">
        <v>0</v>
      </c>
      <c r="R10" s="13">
        <v>35000000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18800000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18800000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18900000</v>
      </c>
      <c r="AK10" s="13">
        <v>0</v>
      </c>
      <c r="AL10" s="13">
        <v>0</v>
      </c>
      <c r="AM10" s="13">
        <v>0</v>
      </c>
      <c r="AN10"/>
      <c r="AO10"/>
      <c r="AP10"/>
      <c r="AQ10"/>
      <c r="AR10"/>
    </row>
    <row r="11" spans="1:44" s="3" customFormat="1" x14ac:dyDescent="0.3">
      <c r="A11" s="4" t="s">
        <v>12</v>
      </c>
      <c r="B11" s="4" t="s">
        <v>21</v>
      </c>
      <c r="C11" s="4" t="s">
        <v>97</v>
      </c>
      <c r="D11" s="4" t="s">
        <v>30</v>
      </c>
      <c r="E11" s="4" t="s">
        <v>98</v>
      </c>
      <c r="F11" s="44" t="s">
        <v>90</v>
      </c>
      <c r="G11" s="7">
        <v>211210080470100</v>
      </c>
      <c r="H11" t="s">
        <v>26</v>
      </c>
      <c r="I11" t="s">
        <v>27</v>
      </c>
      <c r="J11">
        <v>4</v>
      </c>
      <c r="K11" s="1" t="s">
        <v>101</v>
      </c>
      <c r="L11" s="1" t="s">
        <v>102</v>
      </c>
      <c r="M11" s="8" t="s">
        <v>28</v>
      </c>
      <c r="N11" s="13">
        <v>4011166655</v>
      </c>
      <c r="O11" s="13">
        <v>0</v>
      </c>
      <c r="P11" s="13">
        <v>334263888</v>
      </c>
      <c r="Q11" s="13">
        <v>0</v>
      </c>
      <c r="R11" s="13">
        <v>334263888</v>
      </c>
      <c r="S11" s="13">
        <v>0</v>
      </c>
      <c r="T11" s="13">
        <v>334263888</v>
      </c>
      <c r="U11" s="13">
        <v>0</v>
      </c>
      <c r="V11" s="13">
        <v>334263888</v>
      </c>
      <c r="W11" s="13">
        <v>0</v>
      </c>
      <c r="X11" s="13">
        <v>334263888</v>
      </c>
      <c r="Y11" s="13">
        <v>0</v>
      </c>
      <c r="Z11" s="13">
        <v>334263888</v>
      </c>
      <c r="AA11" s="13">
        <v>0</v>
      </c>
      <c r="AB11" s="13">
        <v>334263888</v>
      </c>
      <c r="AC11" s="13">
        <v>0</v>
      </c>
      <c r="AD11" s="13">
        <v>334263888</v>
      </c>
      <c r="AE11" s="13">
        <v>0</v>
      </c>
      <c r="AF11" s="13">
        <v>334263888</v>
      </c>
      <c r="AG11" s="13">
        <v>0</v>
      </c>
      <c r="AH11" s="13">
        <v>334263888</v>
      </c>
      <c r="AI11" s="13">
        <v>0</v>
      </c>
      <c r="AJ11" s="13">
        <v>334263888</v>
      </c>
      <c r="AK11" s="13">
        <v>0</v>
      </c>
      <c r="AL11" s="13">
        <v>334263887</v>
      </c>
      <c r="AM11" s="13">
        <v>0</v>
      </c>
      <c r="AN11"/>
      <c r="AO11"/>
      <c r="AP11"/>
      <c r="AQ11"/>
      <c r="AR11"/>
    </row>
    <row r="12" spans="1:44" s="3" customFormat="1" x14ac:dyDescent="0.3">
      <c r="A12" s="4" t="s">
        <v>12</v>
      </c>
      <c r="B12" s="4" t="s">
        <v>21</v>
      </c>
      <c r="C12" s="4" t="s">
        <v>97</v>
      </c>
      <c r="D12" s="4" t="s">
        <v>30</v>
      </c>
      <c r="E12" s="4" t="s">
        <v>98</v>
      </c>
      <c r="F12" s="44" t="s">
        <v>91</v>
      </c>
      <c r="G12" s="7">
        <v>211210080470100</v>
      </c>
      <c r="H12" t="s">
        <v>26</v>
      </c>
      <c r="I12" t="s">
        <v>27</v>
      </c>
      <c r="J12">
        <v>4</v>
      </c>
      <c r="K12" s="1" t="s">
        <v>103</v>
      </c>
      <c r="L12" s="1" t="s">
        <v>104</v>
      </c>
      <c r="M12" s="8" t="s">
        <v>28</v>
      </c>
      <c r="N12" s="13">
        <v>4000004987</v>
      </c>
      <c r="O12" s="13">
        <v>0</v>
      </c>
      <c r="P12" s="13">
        <v>333333749</v>
      </c>
      <c r="Q12" s="13">
        <v>0</v>
      </c>
      <c r="R12" s="13">
        <v>333333749</v>
      </c>
      <c r="S12" s="13">
        <v>0</v>
      </c>
      <c r="T12" s="13">
        <v>333333749</v>
      </c>
      <c r="U12" s="13">
        <v>0</v>
      </c>
      <c r="V12" s="13">
        <v>333333749</v>
      </c>
      <c r="W12" s="13">
        <v>0</v>
      </c>
      <c r="X12" s="13">
        <v>333333749</v>
      </c>
      <c r="Y12" s="13">
        <v>0</v>
      </c>
      <c r="Z12" s="13">
        <v>333333749</v>
      </c>
      <c r="AA12" s="13">
        <v>0</v>
      </c>
      <c r="AB12" s="13">
        <v>333333749</v>
      </c>
      <c r="AC12" s="13">
        <v>0</v>
      </c>
      <c r="AD12" s="13">
        <v>333333749</v>
      </c>
      <c r="AE12" s="13">
        <v>0</v>
      </c>
      <c r="AF12" s="13">
        <v>333333749</v>
      </c>
      <c r="AG12" s="13">
        <v>0</v>
      </c>
      <c r="AH12" s="13">
        <v>333333749</v>
      </c>
      <c r="AI12" s="13">
        <v>0</v>
      </c>
      <c r="AJ12" s="13">
        <v>333333749</v>
      </c>
      <c r="AK12" s="13">
        <v>0</v>
      </c>
      <c r="AL12" s="13">
        <v>333333748</v>
      </c>
      <c r="AM12" s="13">
        <v>0</v>
      </c>
      <c r="AN12"/>
      <c r="AO12"/>
      <c r="AP12"/>
      <c r="AQ12"/>
      <c r="AR12"/>
    </row>
    <row r="13" spans="1:44" s="3" customFormat="1" x14ac:dyDescent="0.3">
      <c r="A13" s="4" t="s">
        <v>12</v>
      </c>
      <c r="B13" s="4" t="s">
        <v>21</v>
      </c>
      <c r="C13" s="4" t="s">
        <v>97</v>
      </c>
      <c r="D13" s="4" t="s">
        <v>30</v>
      </c>
      <c r="E13" s="4" t="s">
        <v>98</v>
      </c>
      <c r="F13" s="44" t="s">
        <v>92</v>
      </c>
      <c r="G13" s="7">
        <v>211210080470100</v>
      </c>
      <c r="H13" t="s">
        <v>26</v>
      </c>
      <c r="I13" t="s">
        <v>27</v>
      </c>
      <c r="J13">
        <v>4</v>
      </c>
      <c r="K13" s="1" t="s">
        <v>105</v>
      </c>
      <c r="L13" s="1" t="s">
        <v>106</v>
      </c>
      <c r="M13" s="8" t="s">
        <v>28</v>
      </c>
      <c r="N13" s="13">
        <v>343849422</v>
      </c>
      <c r="O13" s="13">
        <v>0</v>
      </c>
      <c r="P13" s="13">
        <v>28654119</v>
      </c>
      <c r="Q13" s="13">
        <v>0</v>
      </c>
      <c r="R13" s="13">
        <v>28654119</v>
      </c>
      <c r="S13" s="13">
        <v>0</v>
      </c>
      <c r="T13" s="13">
        <v>28654119</v>
      </c>
      <c r="U13" s="13">
        <v>0</v>
      </c>
      <c r="V13" s="13">
        <v>28654119</v>
      </c>
      <c r="W13" s="13">
        <v>0</v>
      </c>
      <c r="X13" s="13">
        <v>28654119</v>
      </c>
      <c r="Y13" s="13">
        <v>0</v>
      </c>
      <c r="Z13" s="13">
        <v>28654119</v>
      </c>
      <c r="AA13" s="13">
        <v>0</v>
      </c>
      <c r="AB13" s="13">
        <v>28654119</v>
      </c>
      <c r="AC13" s="13">
        <v>0</v>
      </c>
      <c r="AD13" s="13">
        <v>28654119</v>
      </c>
      <c r="AE13" s="13">
        <v>0</v>
      </c>
      <c r="AF13" s="13">
        <v>28654119</v>
      </c>
      <c r="AG13" s="13">
        <v>0</v>
      </c>
      <c r="AH13" s="13">
        <v>28654119</v>
      </c>
      <c r="AI13" s="13">
        <v>0</v>
      </c>
      <c r="AJ13" s="13">
        <v>28654119</v>
      </c>
      <c r="AK13" s="13">
        <v>0</v>
      </c>
      <c r="AL13" s="13">
        <v>28654113</v>
      </c>
      <c r="AM13" s="13">
        <v>0</v>
      </c>
      <c r="AN13"/>
      <c r="AO13"/>
      <c r="AP13"/>
      <c r="AQ13"/>
      <c r="AR13"/>
    </row>
    <row r="14" spans="1:44" s="3" customFormat="1" x14ac:dyDescent="0.3">
      <c r="A14" s="4" t="s">
        <v>12</v>
      </c>
      <c r="B14" s="4" t="s">
        <v>21</v>
      </c>
      <c r="C14" s="4" t="s">
        <v>97</v>
      </c>
      <c r="D14" s="4" t="s">
        <v>30</v>
      </c>
      <c r="E14" s="4" t="s">
        <v>98</v>
      </c>
      <c r="F14" s="44" t="s">
        <v>93</v>
      </c>
      <c r="G14" s="7">
        <v>211210080470100</v>
      </c>
      <c r="H14" t="s">
        <v>26</v>
      </c>
      <c r="I14" t="s">
        <v>27</v>
      </c>
      <c r="J14">
        <v>4</v>
      </c>
      <c r="K14" s="1" t="s">
        <v>107</v>
      </c>
      <c r="L14" s="1" t="s">
        <v>108</v>
      </c>
      <c r="M14" s="8" t="s">
        <v>28</v>
      </c>
      <c r="N14" s="13">
        <v>13124620.219999999</v>
      </c>
      <c r="O14" s="13">
        <v>0</v>
      </c>
      <c r="P14" s="13">
        <v>1047547.68</v>
      </c>
      <c r="Q14" s="13">
        <v>0</v>
      </c>
      <c r="R14" s="13">
        <v>1047547.68</v>
      </c>
      <c r="S14" s="13">
        <v>0</v>
      </c>
      <c r="T14" s="13">
        <v>1047547.68</v>
      </c>
      <c r="U14" s="13">
        <v>0</v>
      </c>
      <c r="V14" s="13">
        <v>1026547.68</v>
      </c>
      <c r="W14" s="13">
        <v>0</v>
      </c>
      <c r="X14" s="13">
        <v>1047547.68</v>
      </c>
      <c r="Y14" s="13">
        <v>0</v>
      </c>
      <c r="Z14" s="13">
        <v>1335071.54</v>
      </c>
      <c r="AA14" s="13">
        <v>0</v>
      </c>
      <c r="AB14" s="13">
        <v>1335071.54</v>
      </c>
      <c r="AC14" s="13">
        <v>0</v>
      </c>
      <c r="AD14" s="13">
        <v>1047547.68</v>
      </c>
      <c r="AE14" s="13">
        <v>0</v>
      </c>
      <c r="AF14" s="13">
        <v>1047547.68</v>
      </c>
      <c r="AG14" s="13">
        <v>0</v>
      </c>
      <c r="AH14" s="13">
        <v>1047547.68</v>
      </c>
      <c r="AI14" s="13">
        <v>0</v>
      </c>
      <c r="AJ14" s="13">
        <v>1047547.68</v>
      </c>
      <c r="AK14" s="13">
        <v>0</v>
      </c>
      <c r="AL14" s="13">
        <v>1047548.02</v>
      </c>
      <c r="AM14" s="13">
        <v>0</v>
      </c>
      <c r="AN14"/>
      <c r="AO14"/>
      <c r="AP14"/>
      <c r="AQ14"/>
      <c r="AR14"/>
    </row>
    <row r="15" spans="1:44" s="3" customFormat="1" x14ac:dyDescent="0.3">
      <c r="A15" s="4" t="s">
        <v>12</v>
      </c>
      <c r="B15" s="4" t="s">
        <v>21</v>
      </c>
      <c r="C15" s="4" t="s">
        <v>97</v>
      </c>
      <c r="D15" s="4" t="s">
        <v>30</v>
      </c>
      <c r="E15" s="4" t="s">
        <v>98</v>
      </c>
      <c r="F15" s="44" t="s">
        <v>94</v>
      </c>
      <c r="G15" s="7">
        <v>211210080470100</v>
      </c>
      <c r="H15" t="s">
        <v>26</v>
      </c>
      <c r="I15" t="s">
        <v>27</v>
      </c>
      <c r="J15">
        <v>4</v>
      </c>
      <c r="K15" s="1" t="s">
        <v>109</v>
      </c>
      <c r="L15" s="1" t="s">
        <v>110</v>
      </c>
      <c r="M15" s="8" t="s">
        <v>28</v>
      </c>
      <c r="N15" s="13">
        <v>43818733.079999998</v>
      </c>
      <c r="O15" s="13">
        <v>0</v>
      </c>
      <c r="P15" s="13">
        <v>3491825.62</v>
      </c>
      <c r="Q15" s="13">
        <v>0</v>
      </c>
      <c r="R15" s="13">
        <v>3491825.62</v>
      </c>
      <c r="S15" s="13">
        <v>0</v>
      </c>
      <c r="T15" s="13">
        <v>3491825.62</v>
      </c>
      <c r="U15" s="13">
        <v>0</v>
      </c>
      <c r="V15" s="13">
        <v>3491825.62</v>
      </c>
      <c r="W15" s="13">
        <v>0</v>
      </c>
      <c r="X15" s="13">
        <v>3491825.62</v>
      </c>
      <c r="Y15" s="13">
        <v>0</v>
      </c>
      <c r="Z15" s="13">
        <v>4450238.4400000004</v>
      </c>
      <c r="AA15" s="13">
        <v>0</v>
      </c>
      <c r="AB15" s="13">
        <v>4450238.4400000004</v>
      </c>
      <c r="AC15" s="13">
        <v>0</v>
      </c>
      <c r="AD15" s="13">
        <v>3491825.62</v>
      </c>
      <c r="AE15" s="13">
        <v>0</v>
      </c>
      <c r="AF15" s="13">
        <v>3491825.62</v>
      </c>
      <c r="AG15" s="13">
        <v>0</v>
      </c>
      <c r="AH15" s="13">
        <v>3491825.62</v>
      </c>
      <c r="AI15" s="13">
        <v>0</v>
      </c>
      <c r="AJ15" s="13">
        <v>3491825.62</v>
      </c>
      <c r="AK15" s="13">
        <v>0</v>
      </c>
      <c r="AL15" s="13">
        <v>3491825.62</v>
      </c>
      <c r="AM15" s="13">
        <v>0</v>
      </c>
      <c r="AN15"/>
      <c r="AO15"/>
      <c r="AP15"/>
      <c r="AQ15"/>
      <c r="AR15"/>
    </row>
    <row r="16" spans="1:44" s="3" customFormat="1" x14ac:dyDescent="0.3">
      <c r="A16" s="4" t="s">
        <v>12</v>
      </c>
      <c r="B16" s="4" t="s">
        <v>21</v>
      </c>
      <c r="C16" s="4" t="s">
        <v>97</v>
      </c>
      <c r="D16" s="4" t="s">
        <v>30</v>
      </c>
      <c r="E16" s="4" t="s">
        <v>98</v>
      </c>
      <c r="F16" s="44" t="s">
        <v>95</v>
      </c>
      <c r="G16" s="7">
        <v>211210080470100</v>
      </c>
      <c r="H16" t="s">
        <v>26</v>
      </c>
      <c r="I16" t="s">
        <v>27</v>
      </c>
      <c r="J16">
        <v>4</v>
      </c>
      <c r="K16" s="1" t="s">
        <v>111</v>
      </c>
      <c r="L16" s="1" t="s">
        <v>112</v>
      </c>
      <c r="M16" s="8" t="s">
        <v>28</v>
      </c>
      <c r="N16" s="13">
        <v>1040692951.26</v>
      </c>
      <c r="O16" s="13">
        <v>0</v>
      </c>
      <c r="P16" s="13">
        <v>2444277.94</v>
      </c>
      <c r="Q16" s="13">
        <v>0</v>
      </c>
      <c r="R16" s="13">
        <v>2444277.94</v>
      </c>
      <c r="S16" s="13">
        <v>0</v>
      </c>
      <c r="T16" s="13">
        <v>2444277.94</v>
      </c>
      <c r="U16" s="13">
        <v>0</v>
      </c>
      <c r="V16" s="13">
        <v>2444277.94</v>
      </c>
      <c r="W16" s="13">
        <v>0</v>
      </c>
      <c r="X16" s="13">
        <v>2444277.94</v>
      </c>
      <c r="Y16" s="13">
        <v>0</v>
      </c>
      <c r="Z16" s="13">
        <v>3115166.9</v>
      </c>
      <c r="AA16" s="13">
        <v>0</v>
      </c>
      <c r="AB16" s="13">
        <v>3115166.9</v>
      </c>
      <c r="AC16" s="13">
        <v>0</v>
      </c>
      <c r="AD16" s="13">
        <v>2444277.94</v>
      </c>
      <c r="AE16" s="13">
        <v>0</v>
      </c>
      <c r="AF16" s="13">
        <v>2444277.94</v>
      </c>
      <c r="AG16" s="13">
        <v>0</v>
      </c>
      <c r="AH16" s="13">
        <v>2444277.94</v>
      </c>
      <c r="AI16" s="13">
        <v>0</v>
      </c>
      <c r="AJ16" s="13">
        <v>2444277.94</v>
      </c>
      <c r="AK16" s="13">
        <v>0</v>
      </c>
      <c r="AL16" s="13">
        <v>1012464116</v>
      </c>
      <c r="AM16" s="13">
        <v>0</v>
      </c>
      <c r="AN16"/>
      <c r="AO16"/>
      <c r="AP16"/>
      <c r="AQ16"/>
      <c r="AR16"/>
    </row>
    <row r="17" spans="1:44" s="3" customFormat="1" x14ac:dyDescent="0.3">
      <c r="A17" s="4" t="s">
        <v>12</v>
      </c>
      <c r="B17" s="4" t="s">
        <v>21</v>
      </c>
      <c r="C17" s="4" t="s">
        <v>97</v>
      </c>
      <c r="D17" s="4" t="s">
        <v>30</v>
      </c>
      <c r="E17" s="4" t="s">
        <v>98</v>
      </c>
      <c r="F17" s="44" t="s">
        <v>96</v>
      </c>
      <c r="G17" s="7">
        <v>211210080470100</v>
      </c>
      <c r="H17" t="s">
        <v>26</v>
      </c>
      <c r="I17" t="s">
        <v>27</v>
      </c>
      <c r="J17">
        <v>4</v>
      </c>
      <c r="K17" s="1" t="s">
        <v>113</v>
      </c>
      <c r="L17" s="1" t="s">
        <v>114</v>
      </c>
      <c r="M17" s="8" t="s">
        <v>28</v>
      </c>
      <c r="N17" s="13">
        <v>633570835.43999994</v>
      </c>
      <c r="O17" s="13">
        <v>0</v>
      </c>
      <c r="P17" s="13">
        <v>55976485.5</v>
      </c>
      <c r="Q17" s="13">
        <v>0</v>
      </c>
      <c r="R17" s="13">
        <v>51044508.479999997</v>
      </c>
      <c r="S17" s="13">
        <v>0</v>
      </c>
      <c r="T17" s="13">
        <v>45844669.109999999</v>
      </c>
      <c r="U17" s="13">
        <v>0</v>
      </c>
      <c r="V17" s="13">
        <v>49639220.219999999</v>
      </c>
      <c r="W17" s="13">
        <v>0</v>
      </c>
      <c r="X17" s="13">
        <v>46191202.039999999</v>
      </c>
      <c r="Y17" s="13">
        <v>0</v>
      </c>
      <c r="Z17" s="13">
        <v>41214172.969999999</v>
      </c>
      <c r="AA17" s="13">
        <v>0</v>
      </c>
      <c r="AB17" s="13">
        <v>45737216.07</v>
      </c>
      <c r="AC17" s="13">
        <v>0</v>
      </c>
      <c r="AD17" s="13">
        <v>34832897.240000002</v>
      </c>
      <c r="AE17" s="13">
        <v>0</v>
      </c>
      <c r="AF17" s="13">
        <v>38949312.840000004</v>
      </c>
      <c r="AG17" s="13">
        <v>0</v>
      </c>
      <c r="AH17" s="13">
        <v>56203685.439999998</v>
      </c>
      <c r="AI17" s="13">
        <v>0</v>
      </c>
      <c r="AJ17" s="13">
        <v>50671956.369999997</v>
      </c>
      <c r="AK17" s="13">
        <v>0</v>
      </c>
      <c r="AL17" s="13">
        <v>117265509.16</v>
      </c>
      <c r="AM17" s="13">
        <v>0</v>
      </c>
      <c r="AN17"/>
      <c r="AO17"/>
      <c r="AP17"/>
      <c r="AQ17"/>
      <c r="AR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194A-C864-48BE-BCE9-B460791F9742}">
  <sheetPr>
    <tabColor rgb="FF7030A0"/>
  </sheetPr>
  <dimension ref="A1:N34"/>
  <sheetViews>
    <sheetView tabSelected="1" zoomScale="80" zoomScaleNormal="80" zoomScaleSheetLayoutView="85" workbookViewId="0">
      <selection activeCell="N29" sqref="N29"/>
    </sheetView>
  </sheetViews>
  <sheetFormatPr baseColWidth="10" defaultRowHeight="14.4" x14ac:dyDescent="0.3"/>
  <cols>
    <col min="1" max="1" width="11.33203125" customWidth="1"/>
    <col min="2" max="2" width="10.6640625" customWidth="1"/>
    <col min="12" max="12" width="16.6640625" bestFit="1" customWidth="1"/>
    <col min="13" max="13" width="18.77734375" customWidth="1"/>
    <col min="14" max="14" width="12.109375" bestFit="1" customWidth="1"/>
  </cols>
  <sheetData>
    <row r="1" spans="1:13" ht="18" x14ac:dyDescent="0.3">
      <c r="G1" s="17" t="s">
        <v>57</v>
      </c>
      <c r="L1" s="17" t="s">
        <v>58</v>
      </c>
      <c r="M1" s="20" t="str">
        <f>'Tabla de polizas'!B2</f>
        <v>P</v>
      </c>
    </row>
    <row r="2" spans="1:13" ht="18" x14ac:dyDescent="0.35">
      <c r="A2" s="18"/>
      <c r="L2" s="17" t="s">
        <v>59</v>
      </c>
      <c r="M2" s="20" t="str">
        <f>'Tabla de polizas'!C2</f>
        <v>5</v>
      </c>
    </row>
    <row r="3" spans="1:13" ht="23.4" x14ac:dyDescent="0.45">
      <c r="G3" s="19" t="s">
        <v>60</v>
      </c>
      <c r="L3" s="17" t="s">
        <v>61</v>
      </c>
      <c r="M3" s="20" t="s">
        <v>30</v>
      </c>
    </row>
    <row r="4" spans="1:13" ht="18" x14ac:dyDescent="0.3">
      <c r="L4" s="17" t="s">
        <v>62</v>
      </c>
      <c r="M4" s="21" t="s">
        <v>98</v>
      </c>
    </row>
    <row r="5" spans="1:13" ht="15" thickBot="1" x14ac:dyDescent="0.35"/>
    <row r="6" spans="1:13" ht="15" thickBot="1" x14ac:dyDescent="0.35">
      <c r="A6" s="22" t="s">
        <v>16</v>
      </c>
      <c r="B6" s="23"/>
      <c r="C6" s="22" t="s">
        <v>63</v>
      </c>
      <c r="D6" s="24"/>
      <c r="E6" s="24"/>
      <c r="F6" s="24"/>
      <c r="G6" s="24"/>
      <c r="H6" s="24"/>
      <c r="I6" s="24"/>
      <c r="J6" s="24"/>
      <c r="K6" s="23"/>
      <c r="L6" s="25" t="s">
        <v>64</v>
      </c>
      <c r="M6" s="25" t="s">
        <v>65</v>
      </c>
    </row>
    <row r="7" spans="1:13" x14ac:dyDescent="0.3">
      <c r="A7" s="16" t="s">
        <v>99</v>
      </c>
      <c r="B7" s="26"/>
      <c r="C7" s="16" t="s">
        <v>100</v>
      </c>
      <c r="D7" s="26"/>
      <c r="E7" s="26"/>
      <c r="F7" s="26"/>
      <c r="G7" s="26"/>
      <c r="H7" s="26"/>
      <c r="I7" s="26"/>
      <c r="J7" s="26"/>
      <c r="K7" s="26"/>
      <c r="L7" s="28">
        <v>91500000</v>
      </c>
      <c r="M7" s="27"/>
    </row>
    <row r="8" spans="1:13" x14ac:dyDescent="0.3">
      <c r="A8" s="16" t="s">
        <v>101</v>
      </c>
      <c r="C8" s="16" t="s">
        <v>102</v>
      </c>
      <c r="L8" s="28">
        <v>4011166655</v>
      </c>
      <c r="M8" s="27"/>
    </row>
    <row r="9" spans="1:13" x14ac:dyDescent="0.3">
      <c r="A9" s="34" t="s">
        <v>103</v>
      </c>
      <c r="C9" s="16" t="s">
        <v>104</v>
      </c>
      <c r="L9" s="28">
        <v>4000004987</v>
      </c>
      <c r="M9" s="27"/>
    </row>
    <row r="10" spans="1:13" x14ac:dyDescent="0.3">
      <c r="A10" s="34" t="s">
        <v>105</v>
      </c>
      <c r="C10" s="16" t="s">
        <v>106</v>
      </c>
      <c r="L10" s="28">
        <v>343849422</v>
      </c>
      <c r="M10" s="27"/>
    </row>
    <row r="11" spans="1:13" x14ac:dyDescent="0.3">
      <c r="A11" s="34" t="s">
        <v>107</v>
      </c>
      <c r="C11" s="16" t="s">
        <v>108</v>
      </c>
      <c r="L11" s="28">
        <v>13124620.219999999</v>
      </c>
      <c r="M11" s="27"/>
    </row>
    <row r="12" spans="1:13" x14ac:dyDescent="0.3">
      <c r="A12" s="34" t="s">
        <v>109</v>
      </c>
      <c r="C12" s="16" t="s">
        <v>110</v>
      </c>
      <c r="L12" s="28">
        <v>43818733.079999998</v>
      </c>
      <c r="M12" s="27"/>
    </row>
    <row r="13" spans="1:13" x14ac:dyDescent="0.3">
      <c r="A13" s="34" t="s">
        <v>111</v>
      </c>
      <c r="C13" s="16" t="s">
        <v>112</v>
      </c>
      <c r="L13" s="28">
        <v>1040692951.26</v>
      </c>
      <c r="M13" s="27"/>
    </row>
    <row r="14" spans="1:13" x14ac:dyDescent="0.3">
      <c r="A14" s="34" t="s">
        <v>113</v>
      </c>
      <c r="C14" s="16" t="s">
        <v>114</v>
      </c>
      <c r="L14" s="28">
        <v>633570835.43999994</v>
      </c>
      <c r="M14" s="27"/>
    </row>
    <row r="15" spans="1:13" x14ac:dyDescent="0.3">
      <c r="A15" s="34" t="s">
        <v>88</v>
      </c>
      <c r="C15" s="16" t="s">
        <v>89</v>
      </c>
      <c r="L15" s="10"/>
      <c r="M15" s="27">
        <v>91500000</v>
      </c>
    </row>
    <row r="16" spans="1:13" x14ac:dyDescent="0.3">
      <c r="A16" s="34" t="s">
        <v>74</v>
      </c>
      <c r="C16" s="16" t="s">
        <v>75</v>
      </c>
      <c r="L16" s="10"/>
      <c r="M16" s="27">
        <v>4011166655</v>
      </c>
    </row>
    <row r="17" spans="1:14" x14ac:dyDescent="0.3">
      <c r="A17" t="s">
        <v>76</v>
      </c>
      <c r="C17" t="s">
        <v>77</v>
      </c>
      <c r="L17" s="28"/>
      <c r="M17" s="27">
        <v>4000004987</v>
      </c>
    </row>
    <row r="18" spans="1:14" x14ac:dyDescent="0.3">
      <c r="A18" t="s">
        <v>78</v>
      </c>
      <c r="C18" t="s">
        <v>79</v>
      </c>
      <c r="L18" s="28"/>
      <c r="M18" s="27">
        <v>343849422</v>
      </c>
    </row>
    <row r="19" spans="1:14" x14ac:dyDescent="0.3">
      <c r="A19" t="s">
        <v>80</v>
      </c>
      <c r="C19" t="s">
        <v>81</v>
      </c>
      <c r="L19" s="28"/>
      <c r="M19" s="27">
        <v>13124620.219999999</v>
      </c>
    </row>
    <row r="20" spans="1:14" x14ac:dyDescent="0.3">
      <c r="A20" t="s">
        <v>82</v>
      </c>
      <c r="C20" t="s">
        <v>83</v>
      </c>
      <c r="L20" s="28"/>
      <c r="M20" s="27">
        <v>43818733.079999998</v>
      </c>
    </row>
    <row r="21" spans="1:14" x14ac:dyDescent="0.3">
      <c r="A21" t="s">
        <v>84</v>
      </c>
      <c r="C21" t="s">
        <v>85</v>
      </c>
      <c r="L21" s="28"/>
      <c r="M21" s="27">
        <v>1040692951.26</v>
      </c>
    </row>
    <row r="22" spans="1:14" x14ac:dyDescent="0.3">
      <c r="A22" t="s">
        <v>86</v>
      </c>
      <c r="C22" t="s">
        <v>87</v>
      </c>
      <c r="L22" s="28"/>
      <c r="M22" s="27">
        <v>633570835.43999994</v>
      </c>
    </row>
    <row r="23" spans="1:14" x14ac:dyDescent="0.3">
      <c r="L23" s="28"/>
      <c r="M23" s="27"/>
    </row>
    <row r="24" spans="1:14" x14ac:dyDescent="0.3">
      <c r="L24" s="28"/>
      <c r="M24" s="27"/>
    </row>
    <row r="25" spans="1:14" x14ac:dyDescent="0.3">
      <c r="L25" s="28"/>
      <c r="M25" s="27"/>
    </row>
    <row r="26" spans="1:14" x14ac:dyDescent="0.3">
      <c r="L26" s="28"/>
      <c r="M26" s="27"/>
    </row>
    <row r="27" spans="1:14" ht="15" thickBot="1" x14ac:dyDescent="0.3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</row>
    <row r="28" spans="1:14" x14ac:dyDescent="0.3">
      <c r="J28" s="32" t="s">
        <v>66</v>
      </c>
      <c r="L28" s="33">
        <f>SUM(L7:L27)</f>
        <v>10177728204</v>
      </c>
      <c r="M28" s="33">
        <f>SUM(M7:M27)</f>
        <v>10177728204</v>
      </c>
      <c r="N28" s="28"/>
    </row>
    <row r="29" spans="1:14" ht="15" thickBot="1" x14ac:dyDescent="0.35"/>
    <row r="30" spans="1:14" ht="15" thickBot="1" x14ac:dyDescent="0.35">
      <c r="A30" s="25" t="s">
        <v>67</v>
      </c>
      <c r="B30" s="22" t="str">
        <f>'[1]Acumulado de poliza inicial'!J2</f>
        <v>PRESUPUESTO INICIAL 2024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3"/>
    </row>
    <row r="31" spans="1:14" ht="15" thickBot="1" x14ac:dyDescent="0.35"/>
    <row r="32" spans="1:14" ht="15" thickBot="1" x14ac:dyDescent="0.35">
      <c r="A32" s="35" t="s">
        <v>68</v>
      </c>
      <c r="B32" s="36"/>
      <c r="C32" s="36"/>
      <c r="D32" s="36"/>
      <c r="E32" s="37"/>
      <c r="F32" s="35" t="s">
        <v>69</v>
      </c>
      <c r="G32" s="36"/>
      <c r="H32" s="36"/>
      <c r="I32" s="36"/>
      <c r="J32" s="37"/>
      <c r="K32" s="35" t="s">
        <v>70</v>
      </c>
      <c r="L32" s="36"/>
      <c r="M32" s="37"/>
    </row>
    <row r="33" spans="1:13" ht="72.599999999999994" customHeight="1" thickBot="1" x14ac:dyDescent="0.35">
      <c r="A33" s="35"/>
      <c r="B33" s="36"/>
      <c r="C33" s="36"/>
      <c r="D33" s="36"/>
      <c r="E33" s="37"/>
      <c r="F33" s="35"/>
      <c r="G33" s="36"/>
      <c r="H33" s="36"/>
      <c r="I33" s="36"/>
      <c r="J33" s="37"/>
      <c r="K33" s="35"/>
      <c r="L33" s="36"/>
      <c r="M33" s="37"/>
    </row>
    <row r="34" spans="1:13" ht="29.4" customHeight="1" thickBot="1" x14ac:dyDescent="0.35">
      <c r="A34" s="35" t="s">
        <v>71</v>
      </c>
      <c r="B34" s="36"/>
      <c r="C34" s="36"/>
      <c r="D34" s="36"/>
      <c r="E34" s="37"/>
      <c r="F34" s="35" t="s">
        <v>72</v>
      </c>
      <c r="G34" s="36"/>
      <c r="H34" s="36"/>
      <c r="I34" s="36"/>
      <c r="J34" s="37"/>
      <c r="K34" s="38" t="s">
        <v>73</v>
      </c>
      <c r="L34" s="39"/>
      <c r="M34" s="40"/>
    </row>
  </sheetData>
  <mergeCells count="9">
    <mergeCell ref="A34:E34"/>
    <mergeCell ref="F34:J34"/>
    <mergeCell ref="K34:M34"/>
    <mergeCell ref="A32:E32"/>
    <mergeCell ref="F32:J32"/>
    <mergeCell ref="K32:M32"/>
    <mergeCell ref="A33:E33"/>
    <mergeCell ref="F33:J33"/>
    <mergeCell ref="K33:M33"/>
  </mergeCells>
  <pageMargins left="0.7" right="0.7" top="0.75" bottom="0.75" header="0.3" footer="0.3"/>
  <pageSetup scale="5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de Carga 4</vt:lpstr>
      <vt:lpstr>Proceso Aut 4</vt:lpstr>
      <vt:lpstr>Tabla de polizas</vt:lpstr>
      <vt:lpstr>Poliza vista apro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Cesar Tejedor Puente</cp:lastModifiedBy>
  <dcterms:created xsi:type="dcterms:W3CDTF">2023-12-28T18:45:51Z</dcterms:created>
  <dcterms:modified xsi:type="dcterms:W3CDTF">2024-01-17T02:17:41Z</dcterms:modified>
</cp:coreProperties>
</file>